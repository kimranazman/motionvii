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activeTab="1" windowHeight="15800" windowWidth="28040" xWindow="4240" yWindow="640"/>
  </bookViews>
  <sheets>
    <sheet name="(1) Internal Factor Analysis (I" sheetId="2" r:id="rId5" state="hidden"/>
    <sheet name="SAAP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<sst xmlns="http://schemas.openxmlformats.org/spreadsheetml/2006/main" count="3" uniqueCount="3">
  <si>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 </t>
  </si>
  <si>
    <t/>
    <r>
      <rPr>
        <b/>
        <sz val="12"/>
        <color rgb="FF000000"/>
        <rFont val="Calibri"/>
        <family val="2"/>
      </rPr>
      <t xml:space="preserve">Table 1
</t>
    </r>
    <r>
      <rPr>
        <sz val="12"/>
        <color rgb="FF000000"/>
        <rFont val="Calibri"/>
        <family val="2"/>
      </rPr>
      <t xml:space="preserve">Internal Factors (FMOM+L)</t>
    </r>
  </si>
  <si>
    <t/>
    <r>
      <rPr>
        <b/>
        <sz val="10.5"/>
        <color rgb="FF000000"/>
        <rFont val="Calibri"/>
        <family val="2"/>
      </rPr>
      <t xml:space="preserve">Table 1: </t>
    </r>
    <r>
      <rPr>
        <sz val="10.5"/>
        <color rgb="FF000000"/>
        <rFont val="Calibri"/>
        <family val="2"/>
      </rPr>
      <t xml:space="preserve">The Strategic Action Plan (originally as Strategic Annual Action Plan - SAAP)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</si>
</sst>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4">
    <numFmt numFmtId="164" formatCode="0.00"/>
    <numFmt numFmtId="165" formatCode="0"/>
    <numFmt numFmtId="166" formatCode="0"/>
    <numFmt numFmtId="167" formatCode="0.0"/>
    <numFmt numFmtId="168" formatCode="0.00"/>
    <numFmt numFmtId="169" formatCode="0"/>
    <numFmt numFmtId="170" formatCode="0"/>
    <numFmt numFmtId="171" formatCode="0.00"/>
    <numFmt numFmtId="172" formatCode="0"/>
    <numFmt numFmtId="173" formatCode="0.00"/>
    <numFmt numFmtId="174" formatCode="0"/>
    <numFmt numFmtId="175" formatCode="0.00"/>
    <numFmt numFmtId="176" formatCode="0"/>
    <numFmt numFmtId="177" formatCode="0"/>
    <numFmt numFmtId="178" formatCode="[$-ms-MY]&quot;RM&quot;#,##0_);([$-ms-MY]&quot;RM&quot;#,##0)"/>
    <numFmt numFmtId="179" formatCode="mmmm d, yyyy"/>
    <numFmt numFmtId="180" formatCode="mmmm d, yyyy"/>
    <numFmt numFmtId="181" formatCode="mmmm d, yyyy"/>
    <numFmt numFmtId="182" formatCode="mmmm d, yyyy"/>
    <numFmt numFmtId="183" formatCode="[$-ms-MY]&quot;RM&quot;#,##0_);([$-ms-MY]&quot;RM&quot;#,##0)"/>
    <numFmt numFmtId="184" formatCode="mmmm d, yyyy"/>
    <numFmt numFmtId="185" formatCode="M/d/yyyy"/>
    <numFmt numFmtId="186" formatCode="[$-ms-MY]&quot;RM&quot;#,##0_);([$-ms-MY]&quot;RM&quot;#,##0)"/>
    <numFmt numFmtId="187" formatCode="M/d/yyyy"/>
    <numFmt numFmtId="188" formatCode="[$-ms-MY]&quot;RM&quot;#,##0_);([$-ms-MY]&quot;RM&quot;#,##0)"/>
    <numFmt numFmtId="189" formatCode="[$-ms-MY]&quot;RM&quot;#,##0_);([$-ms-MY]&quot;RM&quot;#,##0)"/>
    <numFmt numFmtId="190" formatCode="mmmm d, yyyy"/>
    <numFmt numFmtId="191" formatCode="[$-ms-MY]&quot;RM&quot;#,##0_);([$-ms-MY]&quot;RM&quot;#,##0)"/>
    <numFmt numFmtId="192" formatCode="[$-ms-MY]&quot;RM&quot;#,##0_);([$-ms-MY]&quot;RM&quot;#,##0)"/>
    <numFmt numFmtId="193" formatCode="mmmm d, yyyy"/>
    <numFmt numFmtId="194" formatCode="M/d/yyyy"/>
    <numFmt numFmtId="195" formatCode="[$-ms-MY]&quot;RM&quot;#,##0_);([$-ms-MY]&quot;RM&quot;#,##0)"/>
    <numFmt numFmtId="196" formatCode="M/d/yyyy"/>
    <numFmt numFmtId="197" formatCode="[$-ms-MY]&quot;RM&quot;#,##0_);([$-ms-MY]&quot;RM&quot;#,##0)"/>
  </numFmts>
  <fonts count="15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02124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u val="single"/>
      <sz val="10.5"/>
      <color rgb="FF000000"/>
      <name val="Calibri"/>
      <family val="2"/>
      <scheme val="minor"/>
    </font>
    <font>
      <sz val="9.75"/>
      <color rgb="FF7F3BF5"/>
      <name val="Calibri"/>
      <family val="2"/>
      <scheme val="minor"/>
    </font>
    <font>
      <b val="true"/>
      <sz val="10.5"/>
      <color rgb="FFFFFFFF"/>
      <name val="Calibri"/>
      <family val="2"/>
      <scheme val="minor"/>
    </font>
  </fonts>
  <fills count="1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072F40"/>
        <bgColor/>
      </patternFill>
    </fill>
    <fill>
      <patternFill patternType="solid">
        <fgColor rgb="FF072F40"/>
        <bgColor/>
      </patternFill>
    </fill>
    <fill>
      <patternFill patternType="solid">
        <fgColor rgb="FF072F40"/>
        <bgColor/>
      </patternFill>
    </fill>
    <fill>
      <patternFill patternType="solid">
        <fgColor rgb="FF072F40"/>
        <bgColor/>
      </patternFill>
    </fill>
  </fills>
  <borders count="14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8F959E"/>
      </left>
      <right/>
      <top style="thin">
        <color rgb="FF8F959E"/>
      </top>
      <bottom style="thin">
        <color rgb="FF8F959E"/>
      </bottom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8F959E"/>
      </left>
      <right style="thin">
        <color rgb="FF1F2329"/>
      </right>
      <top style="thin">
        <color rgb="FF8F959E"/>
      </top>
      <bottom style="thin">
        <color rgb="FF8F959E"/>
      </bottom>
      <diagonal/>
    </border>
    <border>
      <left/>
      <right/>
      <top/>
      <bottom/>
      <diagonal/>
    </border>
    <border>
      <left/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8F959E"/>
      </right>
      <top style="thin">
        <color rgb="FF8F959E"/>
      </top>
      <bottom style="thin">
        <color rgb="FF8F959E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8F959E"/>
      </left>
      <right style="thin">
        <color rgb="FF8F959E"/>
      </right>
      <top style="thin">
        <color rgb="FF1F2329"/>
      </top>
      <bottom style="thin">
        <color rgb="FF8F959E"/>
      </bottom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/>
      <right/>
      <top/>
      <bottom/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1F2329"/>
      </bottom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1F2329"/>
      </bottom>
      <diagonal/>
    </border>
    <border>
      <left style="thin">
        <color rgb="FF8F959E"/>
      </left>
      <right style="thin">
        <color rgb="FF1F2329"/>
      </right>
      <top style="thin">
        <color rgb="FF8F959E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8F959E"/>
      </right>
      <top style="thin">
        <color rgb="FF8F959E"/>
      </top>
      <bottom style="thin">
        <color rgb="FF1F2329"/>
      </bottom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1F2329"/>
      </bottom>
      <diagonal/>
    </border>
    <border>
      <left style="thin">
        <color rgb="FF8F959E"/>
      </left>
      <right style="thin">
        <color rgb="FF8F959E"/>
      </right>
      <top style="thin">
        <color rgb="FF8F959E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8F959E"/>
      </left>
      <right/>
      <top/>
      <bottom style="thin">
        <color rgb="FF8F959E"/>
      </bottom>
      <diagonal/>
    </border>
    <border>
      <left/>
      <right style="thin">
        <color rgb="FF8F959E"/>
      </right>
      <top/>
      <bottom style="thin">
        <color rgb="FF8F959E"/>
      </bottom>
      <diagonal/>
    </border>
    <border>
      <left style="thin">
        <color rgb="FF8F959E"/>
      </left>
      <right style="thin">
        <color rgb="FF8F959E"/>
      </right>
      <top/>
      <bottom style="thin">
        <color rgb="FF8F959E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8F959E"/>
      </right>
      <top style="thin">
        <color rgb="FF8F959E"/>
      </top>
      <bottom/>
      <diagonal/>
    </border>
    <border>
      <left style="thin">
        <color rgb="FF8F959E"/>
      </left>
      <right/>
      <top style="thin">
        <color rgb="FF8F959E"/>
      </top>
      <bottom/>
      <diagonal/>
    </border>
    <border>
      <left style="thin">
        <color rgb="FF8F959E"/>
      </left>
      <right style="thin">
        <color rgb="FF8F959E"/>
      </right>
      <top style="thin">
        <color rgb="FF8F959E"/>
      </top>
      <bottom/>
      <diagonal/>
    </border>
    <border>
      <left/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/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8F959E"/>
      </left>
      <right style="thin">
        <color rgb="FF8F959E"/>
      </right>
      <top style="thin">
        <color rgb="FF1F2329"/>
      </top>
      <bottom style="thin">
        <color rgb="FF8F959E"/>
      </bottom>
      <diagonal/>
    </border>
    <border>
      <left style="thin">
        <color rgb="FF8F959E"/>
      </left>
      <right style="thin">
        <color rgb="FF8F959E"/>
      </right>
      <top style="thin">
        <color rgb="FF1F2329"/>
      </top>
      <bottom style="thin">
        <color rgb="FF8F959E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8F959E"/>
      </right>
      <top style="thin">
        <color rgb="FF1F2329"/>
      </top>
      <bottom style="thin">
        <color rgb="FF8F959E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8F959E"/>
      </left>
      <right/>
      <top style="thin">
        <color rgb="FF1F2329"/>
      </top>
      <bottom style="thin">
        <color rgb="FF8F959E"/>
      </bottom>
      <diagonal/>
    </border>
    <border>
      <left style="thin">
        <color rgb="FF8F959E"/>
      </left>
      <right style="thin">
        <color rgb="FF8F959E"/>
      </right>
      <top style="thin">
        <color rgb="FF1F2329"/>
      </top>
      <bottom style="thin">
        <color rgb="FF8F959E"/>
      </bottom>
      <diagonal/>
    </border>
    <border>
      <left style="thin">
        <color rgb="FF8F959E"/>
      </left>
      <right style="thin">
        <color rgb="FF8F959E"/>
      </right>
      <top style="thin">
        <color rgb="FF1F2329"/>
      </top>
      <bottom style="thin">
        <color rgb="FF8F959E"/>
      </bottom>
      <diagonal/>
    </border>
    <border>
      <left style="thin">
        <color rgb="FF8F959E"/>
      </left>
      <right style="thin">
        <color rgb="FF1F2329"/>
      </right>
      <top style="thin">
        <color rgb="FF1F2329"/>
      </top>
      <bottom style="thin">
        <color rgb="FF8F959E"/>
      </bottom>
      <diagonal/>
    </border>
    <border>
      <left/>
      <right style="thin">
        <color rgb="FF8F959E"/>
      </right>
      <top style="thin">
        <color rgb="FF1F2329"/>
      </top>
      <bottom style="thin">
        <color rgb="FF8F959E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 style="thin">
        <color rgb="FF8F959E"/>
      </right>
      <top style="thin">
        <color rgb="FF8F959E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8F959E"/>
      </right>
      <top style="thin">
        <color rgb="FF8F959E"/>
      </top>
      <bottom/>
      <diagonal/>
    </border>
    <border>
      <left style="thin">
        <color rgb="FF8F959E"/>
      </left>
      <right style="thin">
        <color rgb="FF8F959E"/>
      </right>
      <top style="thin">
        <color rgb="FF8F959E"/>
      </top>
      <bottom/>
      <diagonal/>
    </border>
    <border>
      <left style="thin">
        <color rgb="FF8F959E"/>
      </left>
      <right style="thin">
        <color rgb="FF8F959E"/>
      </right>
      <top style="thin">
        <color rgb="FF8F959E"/>
      </top>
      <bottom/>
      <diagonal/>
    </border>
    <border>
      <left style="thin">
        <color rgb="FF8F959E"/>
      </left>
      <right style="thin">
        <color rgb="FF8F959E"/>
      </right>
      <top style="thin">
        <color rgb="FF8F959E"/>
      </top>
      <bottom/>
      <diagonal/>
    </border>
    <border>
      <left style="thin">
        <color rgb="FF8F959E"/>
      </left>
      <right style="thin">
        <color rgb="FF1F2329"/>
      </right>
      <top style="thin">
        <color rgb="FF8F959E"/>
      </top>
      <bottom/>
      <diagonal/>
    </border>
    <border>
      <left style="thin">
        <color rgb="FF8F959E"/>
      </left>
      <right/>
      <top style="thin">
        <color rgb="FF8F959E"/>
      </top>
      <bottom/>
      <diagonal/>
    </border>
    <border>
      <left style="thin">
        <color rgb="FF8F959E"/>
      </left>
      <right style="thin">
        <color rgb="FF8F959E"/>
      </right>
      <top style="thin">
        <color rgb="FF8F959E"/>
      </top>
      <bottom/>
      <diagonal/>
    </border>
    <border>
      <left/>
      <right style="thin">
        <color rgb="FF8F959E"/>
      </right>
      <top style="thin">
        <color rgb="FF8F959E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8F959E"/>
      </left>
      <right style="thin">
        <color rgb="FF8F959E"/>
      </right>
      <top style="thin">
        <color rgb="FF8F959E"/>
      </top>
      <bottom/>
      <diagonal/>
    </border>
    <border>
      <left/>
      <right style="thin">
        <color rgb="FF8F959E"/>
      </right>
      <top style="thin">
        <color rgb="FF8F959E"/>
      </top>
      <bottom style="thin">
        <color rgb="FF8F959E"/>
      </bottom>
      <diagonal/>
    </border>
    <border>
      <left/>
      <right style="thin">
        <color rgb="FF8F959E"/>
      </right>
      <top style="thin">
        <color rgb="FF8F959E"/>
      </top>
      <bottom/>
      <diagonal/>
    </border>
    <border>
      <left style="thin">
        <color rgb="FF8F959E"/>
      </left>
      <right/>
      <top style="thin">
        <color rgb="FF8F959E"/>
      </top>
      <bottom/>
      <diagonal/>
    </border>
    <border>
      <left/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8F959E"/>
      </left>
      <right/>
      <top style="thin">
        <color rgb="FF8F959E"/>
      </top>
      <bottom style="thin">
        <color rgb="FF8F959E"/>
      </bottom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8F959E"/>
      </left>
      <right style="thin">
        <color rgb="FF8F959E"/>
      </right>
      <top style="thin">
        <color rgb="FF8F959E"/>
      </top>
      <bottom/>
      <diagonal/>
    </border>
    <border>
      <left style="thin">
        <color rgb="FF8F959E"/>
      </left>
      <right style="thin">
        <color rgb="FF1F2329"/>
      </right>
      <top style="thin">
        <color rgb="FF8F959E"/>
      </top>
      <bottom style="thin">
        <color rgb="FF8F959E"/>
      </bottom>
      <diagonal/>
    </border>
    <border>
      <left style="thin">
        <color rgb="FF8F959E"/>
      </left>
      <right style="thin">
        <color rgb="FF8F959E"/>
      </right>
      <top/>
      <bottom/>
      <diagonal/>
    </border>
    <border>
      <left style="thin">
        <color rgb="FF8F959E"/>
      </left>
      <right style="thin">
        <color rgb="FF8F959E"/>
      </right>
      <top style="thin">
        <color rgb="FF8F959E"/>
      </top>
      <bottom style="thin">
        <color rgb="FF8F959E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4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horizontal="center" vertical="top"/>
    </xf>
    <xf applyAlignment="true" applyBorder="false" applyFill="false" applyFont="true" applyNumberFormat="true" applyProtection="false" borderId="3" fillId="0" fontId="1" numFmtId="164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vertical="bottom"/>
    </xf>
    <xf applyAlignment="true" applyBorder="false" applyFill="false" applyFont="true" applyNumberFormat="false" applyProtection="false" borderId="6" fillId="0" fontId="1" numFmtId="0" xfId="0">
      <alignment vertical="bottom"/>
    </xf>
    <xf applyAlignment="true" applyBorder="false" applyFill="false" applyFont="true" applyNumberFormat="true" applyProtection="false" borderId="7" fillId="0" fontId="1" numFmtId="165" xfId="0">
      <alignment horizontal="center" vertical="center"/>
    </xf>
    <xf applyAlignment="true" applyBorder="false" applyFill="false" applyFont="true" applyNumberFormat="true" applyProtection="false" borderId="8" fillId="0" fontId="1" numFmtId="166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vertical="top" wrapText="true"/>
    </xf>
    <xf applyAlignment="true" applyBorder="false" applyFill="false" applyFont="true" applyNumberFormat="false" applyProtection="false" borderId="10" fillId="0" fontId="1" numFmtId="0" xfId="0">
      <alignment vertical="top"/>
    </xf>
    <xf applyAlignment="true" applyBorder="false" applyFill="false" applyFont="true" applyNumberFormat="false" applyProtection="false" borderId="11" fillId="0" fontId="1" numFmtId="0" xfId="0">
      <alignment horizontal="left" vertical="top" wrapText="true"/>
    </xf>
    <xf applyAlignment="true" applyBorder="false" applyFill="false" applyFont="true" applyNumberFormat="true" applyProtection="false" borderId="12" fillId="0" fontId="1" numFmtId="167" xfId="0">
      <alignment horizontal="center" vertical="center"/>
    </xf>
    <xf applyAlignment="true" applyBorder="false" applyFill="false" applyFont="true" applyNumberFormat="false" applyProtection="false" borderId="13" fillId="0" fontId="1" numFmtId="0" xfId="0">
      <alignment vertical="bottom"/>
    </xf>
    <xf applyAlignment="true" applyBorder="false" applyFill="false" applyFont="true" applyNumberFormat="false" applyProtection="false" borderId="14" fillId="0" fontId="1" numFmtId="0" xfId="0">
      <alignment vertical="bottom"/>
    </xf>
    <xf applyAlignment="true" applyBorder="false" applyFill="false" applyFont="true" applyNumberFormat="false" applyProtection="false" borderId="15" fillId="0" fontId="1" numFmtId="0" xfId="0">
      <alignment vertical="bottom"/>
    </xf>
    <xf applyAlignment="true" applyBorder="false" applyFill="false" applyFont="true" applyNumberFormat="false" applyProtection="false" borderId="16" fillId="0" fontId="3" numFmtId="0" xfId="0">
      <alignment horizontal="right" vertical="bottom" wrapText="true"/>
    </xf>
    <xf applyAlignment="true" applyBorder="false" applyFill="false" applyFont="true" applyNumberFormat="true" applyProtection="false" borderId="17" fillId="0" fontId="1" numFmtId="168" xfId="0">
      <alignment horizontal="center" vertical="center"/>
    </xf>
    <xf applyAlignment="true" applyBorder="false" applyFill="false" applyFont="true" applyNumberFormat="true" applyProtection="false" borderId="18" fillId="0" fontId="1" numFmtId="169" xfId="0">
      <alignment horizontal="center" vertical="center"/>
    </xf>
    <xf applyAlignment="true" applyBorder="false" applyFill="false" applyFont="true" applyNumberFormat="false" applyProtection="false" borderId="19" fillId="0" fontId="1" numFmtId="0" xfId="0">
      <alignment vertical="bottom"/>
    </xf>
    <xf applyAlignment="true" applyBorder="false" applyFill="false" applyFont="true" applyNumberFormat="false" applyProtection="false" borderId="20" fillId="0" fontId="1" numFmtId="0" xfId="0">
      <alignment horizontal="center" vertical="bottom"/>
    </xf>
    <xf applyAlignment="true" applyBorder="false" applyFill="false" applyFont="true" applyNumberFormat="true" applyProtection="false" borderId="21" fillId="0" fontId="1" numFmtId="170" xfId="0">
      <alignment horizontal="center" vertical="center"/>
    </xf>
    <xf applyAlignment="true" applyBorder="false" applyFill="false" applyFont="true" applyNumberFormat="true" applyProtection="false" borderId="22" fillId="0" fontId="4" numFmtId="171" xfId="0">
      <alignment vertical="bottom"/>
    </xf>
    <xf applyAlignment="true" applyBorder="false" applyFill="false" applyFont="true" applyNumberFormat="true" applyProtection="false" borderId="23" fillId="0" fontId="4" numFmtId="172" xfId="0">
      <alignment vertical="bottom"/>
    </xf>
    <xf applyAlignment="true" applyBorder="false" applyFill="false" applyFont="true" applyNumberFormat="false" applyProtection="false" borderId="24" fillId="0" fontId="4" numFmtId="0" xfId="0">
      <alignment horizontal="center" vertical="center"/>
    </xf>
    <xf applyAlignment="true" applyBorder="false" applyFill="false" applyFont="true" applyNumberFormat="false" applyProtection="false" borderId="25" fillId="0" fontId="4" numFmtId="0" xfId="0">
      <alignment vertical="bottom" wrapText="true"/>
    </xf>
    <xf applyAlignment="true" applyBorder="false" applyFill="false" applyFont="true" applyNumberFormat="false" applyProtection="false" borderId="26" fillId="0" fontId="4" numFmtId="0" xfId="0">
      <alignment vertical="bottom" wrapText="true"/>
    </xf>
    <xf applyAlignment="true" applyBorder="false" applyFill="false" applyFont="true" applyNumberFormat="true" applyProtection="false" borderId="27" fillId="0" fontId="4" numFmtId="173" xfId="0">
      <alignment vertical="bottom"/>
    </xf>
    <xf applyAlignment="true" applyBorder="false" applyFill="false" applyFont="true" applyNumberFormat="false" applyProtection="false" borderId="28" fillId="0" fontId="4" numFmtId="0" xfId="0">
      <alignment vertical="bottom"/>
    </xf>
    <xf applyAlignment="true" applyBorder="false" applyFill="false" applyFont="true" applyNumberFormat="false" applyProtection="false" borderId="29" fillId="0" fontId="3" numFmtId="0" xfId="0">
      <alignment horizontal="left" vertical="center" wrapText="true"/>
    </xf>
    <xf applyAlignment="true" applyBorder="false" applyFill="false" applyFont="true" applyNumberFormat="true" applyProtection="false" borderId="30" fillId="0" fontId="4" numFmtId="174" xfId="0">
      <alignment vertical="bottom"/>
    </xf>
    <xf applyAlignment="true" applyBorder="false" applyFill="false" applyFont="true" applyNumberFormat="false" applyProtection="false" borderId="31" fillId="0" fontId="3" numFmtId="0" xfId="0">
      <alignment horizontal="center" vertical="center" wrapText="true"/>
    </xf>
    <xf applyAlignment="true" applyBorder="false" applyFill="false" applyFont="true" applyNumberFormat="false" applyProtection="false" borderId="32" fillId="0" fontId="3" numFmtId="0" xfId="0">
      <alignment horizontal="center" vertical="center" wrapText="true"/>
    </xf>
    <xf applyAlignment="true" applyBorder="false" applyFill="true" applyFont="true" applyNumberFormat="false" applyProtection="false" borderId="33" fillId="2" fontId="3" numFmtId="0" xfId="0">
      <alignment horizontal="center" vertical="center" wrapText="true"/>
    </xf>
    <xf applyAlignment="true" applyBorder="false" applyFill="true" applyFont="true" applyNumberFormat="true" applyProtection="false" borderId="34" fillId="3" fontId="3" numFmtId="175" xfId="0">
      <alignment horizontal="center" vertical="center" wrapText="true"/>
    </xf>
    <xf applyAlignment="true" applyBorder="false" applyFill="false" applyFont="true" applyNumberFormat="false" applyProtection="false" borderId="35" fillId="0" fontId="3" numFmtId="0" xfId="0">
      <alignment horizontal="center" vertical="center" wrapText="true"/>
    </xf>
    <xf applyAlignment="true" applyBorder="false" applyFill="true" applyFont="true" applyNumberFormat="false" applyProtection="false" borderId="36" fillId="4" fontId="3" numFmtId="0" xfId="0">
      <alignment horizontal="center" vertical="center" wrapText="true"/>
    </xf>
    <xf applyAlignment="true" applyBorder="false" applyFill="true" applyFont="true" applyNumberFormat="true" applyProtection="false" borderId="37" fillId="5" fontId="3" numFmtId="176" xfId="0">
      <alignment horizontal="center" vertical="center" wrapText="true"/>
    </xf>
    <xf applyAlignment="true" applyBorder="false" applyFill="true" applyFont="true" applyNumberFormat="true" applyProtection="false" borderId="38" fillId="6" fontId="3" numFmtId="177" xfId="0">
      <alignment horizontal="center" vertical="center" wrapText="true"/>
    </xf>
    <xf applyAlignment="true" applyBorder="false" applyFill="false" applyFont="true" applyNumberFormat="false" applyProtection="false" borderId="39" fillId="0" fontId="1" numFmtId="0" xfId="0">
      <alignment horizontal="center" vertical="center"/>
    </xf>
    <xf applyAlignment="true" applyBorder="false" applyFill="false" applyFont="true" applyNumberFormat="false" applyProtection="false" borderId="40" fillId="0" fontId="5" numFmtId="0" xfId="0">
      <alignment horizontal="left" vertical="center" wrapText="true"/>
    </xf>
    <xf applyAlignment="true" applyBorder="false" applyFill="false" applyFont="true" applyNumberFormat="false" applyProtection="false" borderId="41" fillId="0" fontId="4" numFmtId="0" xfId="0">
      <alignment vertical="center"/>
    </xf>
    <xf applyAlignment="true" applyBorder="false" applyFill="false" applyFont="true" applyNumberFormat="false" applyProtection="false" borderId="42" fillId="0" fontId="6" numFmtId="0" xfId="0">
      <alignment vertical="center"/>
    </xf>
    <xf applyAlignment="true" applyBorder="false" applyFill="false" applyFont="true" applyNumberFormat="true" applyProtection="false" borderId="43" fillId="0" fontId="4" numFmtId="178" xfId="0">
      <alignment vertical="center"/>
    </xf>
    <xf applyAlignment="true" applyBorder="false" applyFill="false" applyFont="true" applyNumberFormat="false" applyProtection="false" borderId="44" fillId="0" fontId="4" numFmtId="0" xfId="0">
      <alignment vertical="center"/>
    </xf>
    <xf applyAlignment="true" applyBorder="false" applyFill="false" applyFont="true" applyNumberFormat="false" applyProtection="false" borderId="45" fillId="0" fontId="7" numFmtId="0" xfId="0">
      <alignment horizontal="center" vertical="center"/>
    </xf>
    <xf applyAlignment="true" applyBorder="false" applyFill="false" applyFont="true" applyNumberFormat="false" applyProtection="false" borderId="46" fillId="0" fontId="4" numFmtId="0" xfId="0">
      <alignment vertical="center"/>
    </xf>
    <xf applyAlignment="true" applyBorder="false" applyFill="false" applyFont="true" applyNumberFormat="false" applyProtection="false" borderId="47" fillId="0" fontId="4" numFmtId="0" xfId="0">
      <alignment horizontal="left" vertical="center" wrapText="true"/>
    </xf>
    <xf applyAlignment="true" applyBorder="false" applyFill="false" applyFont="true" applyNumberFormat="true" applyProtection="false" borderId="48" fillId="0" fontId="4" numFmtId="179" xfId="0">
      <alignment vertical="center"/>
    </xf>
    <xf applyAlignment="true" applyBorder="false" applyFill="false" applyFont="true" applyNumberFormat="false" applyProtection="false" borderId="49" fillId="0" fontId="4" numFmtId="0" xfId="0">
      <alignment vertical="center"/>
    </xf>
    <xf applyAlignment="true" applyBorder="false" applyFill="false" applyFont="true" applyNumberFormat="false" applyProtection="false" borderId="50" fillId="0" fontId="7" numFmtId="0" xfId="0">
      <alignment horizontal="left" vertical="top" wrapText="true"/>
    </xf>
    <xf applyAlignment="true" applyBorder="false" applyFill="false" applyFont="true" applyNumberFormat="false" applyProtection="false" borderId="51" fillId="0" fontId="7" numFmtId="0" xfId="0">
      <alignment vertical="center"/>
    </xf>
    <xf applyAlignment="true" applyBorder="false" applyFill="false" applyFont="true" applyNumberFormat="false" applyProtection="false" borderId="52" fillId="0" fontId="6" numFmtId="0" xfId="0">
      <alignment horizontal="center" vertical="center"/>
    </xf>
    <xf applyAlignment="true" applyBorder="false" applyFill="false" applyFont="true" applyNumberFormat="true" applyProtection="false" borderId="53" fillId="0" fontId="7" numFmtId="180" xfId="0">
      <alignment vertical="center"/>
    </xf>
    <xf applyAlignment="true" applyBorder="false" applyFill="false" applyFont="true" applyNumberFormat="false" applyProtection="false" borderId="54" fillId="0" fontId="4" numFmtId="0" xfId="0">
      <alignment horizontal="center" vertical="center"/>
    </xf>
    <xf applyAlignment="true" applyBorder="false" applyFill="false" applyFont="true" applyNumberFormat="false" applyProtection="false" borderId="55" fillId="0" fontId="6" numFmtId="0" xfId="0">
      <alignment vertical="center"/>
    </xf>
    <xf applyAlignment="true" applyBorder="false" applyFill="false" applyFont="true" applyNumberFormat="false" applyProtection="false" borderId="56" fillId="0" fontId="4" numFmtId="0" xfId="0">
      <alignment vertical="center"/>
    </xf>
    <xf applyAlignment="true" applyBorder="false" applyFill="false" applyFont="true" applyNumberFormat="true" applyProtection="false" borderId="57" fillId="0" fontId="6" numFmtId="181" xfId="0">
      <alignment vertical="center"/>
    </xf>
    <xf applyAlignment="true" applyBorder="false" applyFill="false" applyFont="true" applyNumberFormat="false" applyProtection="false" borderId="58" fillId="0" fontId="8" numFmtId="0" xfId="0">
      <alignment vertical="center"/>
    </xf>
    <xf applyAlignment="true" applyBorder="false" applyFill="false" applyFont="true" applyNumberFormat="true" applyProtection="false" borderId="59" fillId="0" fontId="6" numFmtId="182" xfId="0">
      <alignment vertical="center"/>
    </xf>
    <xf applyAlignment="true" applyBorder="false" applyFill="false" applyFont="true" applyNumberFormat="false" applyProtection="false" borderId="60" fillId="0" fontId="6" numFmtId="0" xfId="0">
      <alignment vertical="center"/>
    </xf>
    <xf applyAlignment="true" applyBorder="false" applyFill="false" applyFont="true" applyNumberFormat="false" applyProtection="false" borderId="61" fillId="0" fontId="9" numFmtId="0" xfId="0">
      <alignment horizontal="left" vertical="center" wrapText="true"/>
    </xf>
    <xf applyAlignment="true" applyBorder="false" applyFill="false" applyFont="true" applyNumberFormat="false" applyProtection="false" borderId="62" fillId="0" fontId="8" numFmtId="0" xfId="0">
      <alignment horizontal="left" vertical="center" wrapText="true"/>
    </xf>
    <xf applyAlignment="true" applyBorder="false" applyFill="false" applyFont="true" applyNumberFormat="true" applyProtection="false" borderId="63" fillId="0" fontId="4" numFmtId="183" xfId="0">
      <alignment vertical="center"/>
    </xf>
    <xf applyAlignment="true" applyBorder="false" applyFill="false" applyFont="true" applyNumberFormat="false" applyProtection="false" borderId="64" fillId="0" fontId="4" numFmtId="0" xfId="0">
      <alignment vertical="center"/>
    </xf>
    <xf applyAlignment="true" applyBorder="false" applyFill="false" applyFont="true" applyNumberFormat="false" applyProtection="false" borderId="65" fillId="0" fontId="8" numFmtId="0" xfId="0">
      <alignment horizontal="center" vertical="center"/>
    </xf>
    <xf applyAlignment="true" applyBorder="false" applyFill="false" applyFont="true" applyNumberFormat="false" applyProtection="false" borderId="66" fillId="0" fontId="4" numFmtId="0" xfId="0">
      <alignment vertical="center"/>
    </xf>
    <xf applyAlignment="true" applyBorder="false" applyFill="false" applyFont="true" applyNumberFormat="false" applyProtection="false" borderId="67" fillId="0" fontId="4" numFmtId="0" xfId="0">
      <alignment vertical="center"/>
    </xf>
    <xf applyAlignment="true" applyBorder="false" applyFill="false" applyFont="true" applyNumberFormat="true" applyProtection="false" borderId="68" fillId="0" fontId="6" numFmtId="184" xfId="0">
      <alignment vertical="center"/>
    </xf>
    <xf applyAlignment="true" applyBorder="false" applyFill="false" applyFont="true" applyNumberFormat="true" applyProtection="false" borderId="69" fillId="0" fontId="7" numFmtId="185" xfId="0">
      <alignment horizontal="center" vertical="top"/>
    </xf>
    <xf applyAlignment="true" applyBorder="false" applyFill="false" applyFont="true" applyNumberFormat="true" applyProtection="false" borderId="70" fillId="0" fontId="7" numFmtId="186" xfId="0">
      <alignment horizontal="center" vertical="center"/>
    </xf>
    <xf applyAlignment="true" applyBorder="false" applyFill="false" applyFont="true" applyNumberFormat="false" applyProtection="false" borderId="71" fillId="0" fontId="7" numFmtId="0" xfId="0">
      <alignment horizontal="center" vertical="top"/>
    </xf>
    <xf applyAlignment="true" applyBorder="false" applyFill="false" applyFont="true" applyNumberFormat="true" applyProtection="false" borderId="72" fillId="0" fontId="10" numFmtId="187" xfId="0">
      <alignment horizontal="left" vertical="top"/>
    </xf>
    <xf applyAlignment="true" applyBorder="false" applyFill="false" applyFont="true" applyNumberFormat="false" applyProtection="false" borderId="73" fillId="0" fontId="7" numFmtId="0" xfId="0">
      <alignment horizontal="left" vertical="center" wrapText="true"/>
    </xf>
    <xf applyAlignment="true" applyBorder="false" applyFill="false" applyFont="true" applyNumberFormat="false" applyProtection="false" borderId="74" fillId="0" fontId="7" numFmtId="0" xfId="0">
      <alignment vertical="top" wrapText="true"/>
    </xf>
    <xf applyAlignment="true" applyBorder="false" applyFill="false" applyFont="true" applyNumberFormat="false" applyProtection="false" borderId="75" fillId="0" fontId="11" numFmtId="0" xfId="0">
      <alignment vertical="center"/>
    </xf>
    <xf applyAlignment="true" applyBorder="false" applyFill="false" applyFont="true" applyNumberFormat="false" applyProtection="false" borderId="76" fillId="0" fontId="7" numFmtId="0" xfId="0">
      <alignment horizontal="left" vertical="center"/>
    </xf>
    <xf applyAlignment="true" applyBorder="false" applyFill="false" applyFont="true" applyNumberFormat="false" applyProtection="false" borderId="77" fillId="0" fontId="4" numFmtId="0" xfId="0">
      <alignment vertical="center"/>
    </xf>
    <xf applyAlignment="true" applyBorder="false" applyFill="false" applyFont="true" applyNumberFormat="false" applyProtection="false" borderId="78" fillId="0" fontId="4" numFmtId="0" xfId="0">
      <alignment vertical="center"/>
    </xf>
    <xf applyAlignment="true" applyBorder="false" applyFill="false" applyFont="true" applyNumberFormat="false" applyProtection="false" borderId="79" fillId="0" fontId="4" numFmtId="0" xfId="0">
      <alignment vertical="center"/>
    </xf>
    <xf applyAlignment="true" applyBorder="false" applyFill="false" applyFont="true" applyNumberFormat="false" applyProtection="false" borderId="80" fillId="0" fontId="7" numFmtId="0" xfId="0">
      <alignment vertical="bottom"/>
    </xf>
    <xf applyAlignment="true" applyBorder="false" applyFill="false" applyFont="true" applyNumberFormat="false" applyProtection="false" borderId="81" fillId="0" fontId="7" numFmtId="0" xfId="0">
      <alignment horizontal="left" vertical="top"/>
    </xf>
    <xf applyAlignment="true" applyBorder="false" applyFill="false" applyFont="true" applyNumberFormat="false" applyProtection="false" borderId="82" fillId="0" fontId="5" numFmtId="0" xfId="0">
      <alignment horizontal="left" vertical="center"/>
    </xf>
    <xf applyAlignment="true" applyBorder="false" applyFill="false" applyFont="true" applyNumberFormat="true" applyProtection="false" borderId="83" fillId="0" fontId="4" numFmtId="188" xfId="0">
      <alignment vertical="center"/>
    </xf>
    <xf applyAlignment="true" applyBorder="false" applyFill="false" applyFont="true" applyNumberFormat="false" applyProtection="false" borderId="84" fillId="0" fontId="11" numFmtId="0" xfId="0">
      <alignment horizontal="left" vertical="top"/>
    </xf>
    <xf applyAlignment="true" applyBorder="false" applyFill="false" applyFont="true" applyNumberFormat="false" applyProtection="false" borderId="85" fillId="0" fontId="4" numFmtId="0" xfId="0">
      <alignment horizontal="left" vertical="center"/>
    </xf>
    <xf applyAlignment="true" applyBorder="false" applyFill="false" applyFont="true" applyNumberFormat="false" applyProtection="false" borderId="86" fillId="0" fontId="4" numFmtId="0" xfId="0">
      <alignment vertical="center"/>
    </xf>
    <xf applyAlignment="true" applyBorder="false" applyFill="false" applyFont="true" applyNumberFormat="false" applyProtection="false" borderId="87" fillId="0" fontId="4" numFmtId="0" xfId="0">
      <alignment vertical="center"/>
    </xf>
    <xf applyAlignment="true" applyBorder="false" applyFill="false" applyFont="true" applyNumberFormat="false" applyProtection="false" borderId="88" fillId="0" fontId="4" numFmtId="0" xfId="0">
      <alignment vertical="center"/>
    </xf>
    <xf applyAlignment="true" applyBorder="false" applyFill="false" applyFont="true" applyNumberFormat="false" applyProtection="false" borderId="89" fillId="0" fontId="4" numFmtId="0" xfId="0">
      <alignment horizontal="center" vertical="center"/>
    </xf>
    <xf applyAlignment="true" applyBorder="false" applyFill="false" applyFont="true" applyNumberFormat="false" applyProtection="false" borderId="90" fillId="0" fontId="4" numFmtId="0" xfId="0">
      <alignment vertical="center"/>
    </xf>
    <xf applyAlignment="true" applyBorder="false" applyFill="false" applyFont="true" applyNumberFormat="false" applyProtection="false" borderId="91" fillId="0" fontId="4" numFmtId="0" xfId="0">
      <alignment vertical="center"/>
    </xf>
    <xf applyAlignment="true" applyBorder="false" applyFill="false" applyFont="true" applyNumberFormat="false" applyProtection="false" borderId="92" fillId="0" fontId="4" numFmtId="0" xfId="0">
      <alignment vertical="center"/>
    </xf>
    <xf applyAlignment="true" applyBorder="false" applyFill="false" applyFont="true" applyNumberFormat="false" applyProtection="false" borderId="93" fillId="0" fontId="12" numFmtId="0" xfId="0">
      <alignment vertical="bottom"/>
    </xf>
    <xf applyAlignment="true" applyBorder="false" applyFill="false" applyFont="true" applyNumberFormat="false" applyProtection="false" borderId="94" fillId="0" fontId="7" numFmtId="0" xfId="0">
      <alignment horizontal="center" vertical="bottom"/>
    </xf>
    <xf applyAlignment="true" applyBorder="false" applyFill="false" applyFont="true" applyNumberFormat="false" applyProtection="false" borderId="95" fillId="0" fontId="7" numFmtId="0" xfId="0">
      <alignment horizontal="center" vertical="top" wrapText="true"/>
    </xf>
    <xf applyAlignment="true" applyBorder="false" applyFill="false" applyFont="true" applyNumberFormat="false" applyProtection="false" borderId="96" fillId="0" fontId="12" numFmtId="0" xfId="0">
      <alignment vertical="bottom" wrapText="true"/>
    </xf>
    <xf applyAlignment="true" applyBorder="false" applyFill="false" applyFont="true" applyNumberFormat="false" applyProtection="false" borderId="97" fillId="0" fontId="4" numFmtId="0" xfId="0">
      <alignment vertical="center"/>
    </xf>
    <xf applyAlignment="true" applyBorder="false" applyFill="false" applyFont="true" applyNumberFormat="true" applyProtection="false" borderId="98" fillId="0" fontId="4" numFmtId="189" xfId="0">
      <alignment horizontal="right" vertical="center"/>
    </xf>
    <xf applyAlignment="true" applyBorder="false" applyFill="false" applyFont="true" applyNumberFormat="false" applyProtection="false" borderId="99" fillId="0" fontId="6" numFmtId="0" xfId="0">
      <alignment vertical="center" wrapText="true"/>
    </xf>
    <xf applyAlignment="true" applyBorder="false" applyFill="false" applyFont="true" applyNumberFormat="false" applyProtection="false" borderId="100" fillId="0" fontId="8" numFmtId="0" xfId="0">
      <alignment vertical="center"/>
    </xf>
    <xf applyAlignment="true" applyBorder="false" applyFill="false" applyFont="true" applyNumberFormat="true" applyProtection="false" borderId="101" fillId="0" fontId="6" numFmtId="190" xfId="0">
      <alignment vertical="center"/>
    </xf>
    <xf applyAlignment="true" applyBorder="false" applyFill="false" applyFont="true" applyNumberFormat="false" applyProtection="false" borderId="102" fillId="0" fontId="8" numFmtId="0" xfId="0">
      <alignment horizontal="center" vertical="center"/>
    </xf>
    <xf applyAlignment="true" applyBorder="false" applyFill="false" applyFont="true" applyNumberFormat="false" applyProtection="false" borderId="103" fillId="0" fontId="4" numFmtId="0" xfId="0">
      <alignment vertical="center" wrapText="true"/>
    </xf>
    <xf applyAlignment="true" applyBorder="false" applyFill="false" applyFont="true" applyNumberFormat="false" applyProtection="false" borderId="104" fillId="0" fontId="9" numFmtId="0" xfId="0">
      <alignment horizontal="left" vertical="center" wrapText="true"/>
    </xf>
    <xf applyAlignment="true" applyBorder="false" applyFill="false" applyFont="true" applyNumberFormat="false" applyProtection="false" borderId="105" fillId="0" fontId="8" numFmtId="0" xfId="0">
      <alignment vertical="center"/>
    </xf>
    <xf applyAlignment="true" applyBorder="false" applyFill="false" applyFont="true" applyNumberFormat="false" applyProtection="false" borderId="106" fillId="0" fontId="6" numFmtId="0" xfId="0">
      <alignment vertical="center"/>
    </xf>
    <xf applyAlignment="true" applyBorder="false" applyFill="false" applyFont="true" applyNumberFormat="true" applyProtection="false" borderId="107" fillId="0" fontId="4" numFmtId="191" xfId="0">
      <alignment vertical="center"/>
    </xf>
    <xf applyAlignment="true" applyBorder="false" applyFill="false" applyFont="true" applyNumberFormat="false" applyProtection="false" borderId="108" fillId="0" fontId="4" numFmtId="0" xfId="0">
      <alignment vertical="center"/>
    </xf>
    <xf applyAlignment="true" applyBorder="false" applyFill="false" applyFont="true" applyNumberFormat="false" applyProtection="false" borderId="109" fillId="0" fontId="8" numFmtId="0" xfId="0">
      <alignment vertical="center"/>
    </xf>
    <xf applyAlignment="true" applyBorder="false" applyFill="false" applyFont="true" applyNumberFormat="false" applyProtection="false" borderId="110" fillId="0" fontId="8" numFmtId="0" xfId="0">
      <alignment horizontal="left" vertical="center" wrapText="true"/>
    </xf>
    <xf applyAlignment="true" applyBorder="false" applyFill="false" applyFont="true" applyNumberFormat="false" applyProtection="false" borderId="111" fillId="0" fontId="4" numFmtId="0" xfId="0">
      <alignment vertical="center" wrapText="true"/>
    </xf>
    <xf applyAlignment="true" applyBorder="false" applyFill="false" applyFont="true" applyNumberFormat="false" applyProtection="false" borderId="112" fillId="0" fontId="8" numFmtId="0" xfId="0">
      <alignment horizontal="left" vertical="center" wrapText="true"/>
    </xf>
    <xf applyAlignment="true" applyBorder="false" applyFill="false" applyFont="true" applyNumberFormat="false" applyProtection="false" borderId="113" fillId="0" fontId="6" numFmtId="0" xfId="0">
      <alignment vertical="center"/>
    </xf>
    <xf applyAlignment="true" applyBorder="false" applyFill="false" applyFont="true" applyNumberFormat="false" applyProtection="false" borderId="114" fillId="0" fontId="13" numFmtId="0" xfId="0">
      <alignment vertical="center"/>
    </xf>
    <xf applyAlignment="true" applyBorder="false" applyFill="false" applyFont="true" applyNumberFormat="false" applyProtection="false" borderId="115" fillId="0" fontId="6" numFmtId="0" xfId="0">
      <alignment vertical="center"/>
    </xf>
    <xf applyAlignment="true" applyBorder="false" applyFill="false" applyFont="true" applyNumberFormat="true" applyProtection="false" borderId="116" fillId="0" fontId="4" numFmtId="192" xfId="0">
      <alignment vertical="center"/>
    </xf>
    <xf applyAlignment="true" applyBorder="false" applyFill="false" applyFont="true" applyNumberFormat="false" applyProtection="false" borderId="117" fillId="0" fontId="4" numFmtId="0" xfId="0">
      <alignment vertical="center"/>
    </xf>
    <xf applyAlignment="true" applyBorder="false" applyFill="false" applyFont="true" applyNumberFormat="false" applyProtection="false" borderId="118" fillId="0" fontId="13" numFmtId="0" xfId="0">
      <alignment vertical="center"/>
    </xf>
    <xf applyAlignment="true" applyBorder="false" applyFill="false" applyFont="true" applyNumberFormat="true" applyProtection="false" borderId="119" fillId="0" fontId="4" numFmtId="193" xfId="0">
      <alignment vertical="center"/>
    </xf>
    <xf applyAlignment="true" applyBorder="false" applyFill="false" applyFont="true" applyNumberFormat="false" applyProtection="false" borderId="120" fillId="0" fontId="13" numFmtId="0" xfId="0">
      <alignment vertical="center"/>
    </xf>
    <xf applyAlignment="true" applyBorder="false" applyFill="false" applyFont="true" applyNumberFormat="false" applyProtection="false" borderId="121" fillId="0" fontId="4" numFmtId="0" xfId="0">
      <alignment horizontal="left" vertical="center" wrapText="true"/>
    </xf>
    <xf applyAlignment="true" applyBorder="false" applyFill="true" applyFont="true" applyNumberFormat="false" applyProtection="false" borderId="122" fillId="7" fontId="14" numFmtId="0" xfId="0">
      <alignment horizontal="center" vertical="center" wrapText="true"/>
    </xf>
    <xf applyAlignment="true" applyBorder="false" applyFill="true" applyFont="true" applyNumberFormat="true" applyProtection="false" borderId="123" fillId="8" fontId="14" numFmtId="194" xfId="0">
      <alignment horizontal="center" vertical="center" wrapText="true"/>
    </xf>
    <xf applyAlignment="true" applyBorder="false" applyFill="true" applyFont="true" applyNumberFormat="true" applyProtection="false" borderId="124" fillId="9" fontId="14" numFmtId="195" xfId="0">
      <alignment horizontal="center" vertical="center" wrapText="true"/>
    </xf>
    <xf applyAlignment="true" applyBorder="false" applyFill="true" applyFont="true" applyNumberFormat="false" applyProtection="false" borderId="125" fillId="10" fontId="14" numFmtId="0" xfId="0">
      <alignment horizontal="center" vertical="center"/>
    </xf>
    <xf applyAlignment="true" applyBorder="false" applyFill="false" applyFont="true" applyNumberFormat="false" applyProtection="false" borderId="126" fillId="0" fontId="10" numFmtId="0" xfId="0">
      <alignment horizontal="left" vertical="top"/>
    </xf>
    <xf applyAlignment="true" applyBorder="false" applyFill="false" applyFont="true" applyNumberFormat="false" applyProtection="false" borderId="127" fillId="0" fontId="10" numFmtId="0" xfId="0">
      <alignment horizontal="left" vertical="center" wrapText="true"/>
    </xf>
    <xf applyAlignment="true" applyBorder="false" applyFill="false" applyFont="true" applyNumberFormat="false" applyProtection="false" borderId="128" fillId="0" fontId="10" numFmtId="0" xfId="0">
      <alignment horizontal="center" vertical="center"/>
    </xf>
    <xf applyAlignment="true" applyBorder="false" applyFill="false" applyFont="true" applyNumberFormat="false" applyProtection="false" borderId="129" fillId="0" fontId="10" numFmtId="0" xfId="0">
      <alignment vertical="top" wrapText="true"/>
    </xf>
    <xf applyAlignment="true" applyBorder="false" applyFill="false" applyFont="true" applyNumberFormat="false" applyProtection="false" borderId="130" fillId="0" fontId="10" numFmtId="0" xfId="0">
      <alignment horizontal="left" vertical="top" wrapText="true"/>
    </xf>
    <xf applyAlignment="true" applyBorder="false" applyFill="false" applyFont="true" applyNumberFormat="true" applyProtection="false" borderId="131" fillId="0" fontId="10" numFmtId="196" xfId="0">
      <alignment horizontal="center" vertical="top"/>
    </xf>
    <xf applyAlignment="true" applyBorder="false" applyFill="false" applyFont="true" applyNumberFormat="true" applyProtection="false" borderId="132" fillId="0" fontId="10" numFmtId="197" xfId="0">
      <alignment horizontal="center" vertical="top"/>
    </xf>
    <xf applyAlignment="true" applyBorder="false" applyFill="false" applyFont="true" applyNumberFormat="false" applyProtection="false" borderId="133" fillId="0" fontId="10" numFmtId="0" xfId="0">
      <alignment horizontal="center" vertical="top"/>
    </xf>
    <xf applyAlignment="true" applyBorder="false" applyFill="false" applyFont="true" applyNumberFormat="false" applyProtection="false" borderId="134" fillId="0" fontId="6" numFmtId="0" xfId="0">
      <alignment horizontal="left" vertical="center" wrapText="true"/>
    </xf>
    <xf applyAlignment="true" applyBorder="false" applyFill="false" applyFont="true" applyNumberFormat="false" applyProtection="false" borderId="135" fillId="0" fontId="4" numFmtId="0" xfId="0">
      <alignment horizontal="left" vertical="center" wrapText="true"/>
    </xf>
    <xf applyAlignment="true" applyBorder="false" applyFill="false" applyFont="true" applyNumberFormat="false" applyProtection="false" borderId="136" fillId="0" fontId="7" numFmtId="0" xfId="0">
      <alignment vertical="center" wrapText="true"/>
    </xf>
    <xf applyAlignment="true" applyBorder="false" applyFill="false" applyFont="true" applyNumberFormat="false" applyProtection="false" borderId="137" fillId="0" fontId="8" numFmtId="0" xfId="0">
      <alignment vertical="center"/>
    </xf>
    <xf applyAlignment="true" applyBorder="false" applyFill="false" applyFont="true" applyNumberFormat="false" applyProtection="false" borderId="138" fillId="0" fontId="4" numFmtId="0" xfId="0">
      <alignment vertical="center" wrapText="true"/>
    </xf>
    <xf applyAlignment="true" applyBorder="false" applyFill="false" applyFont="true" applyNumberFormat="false" applyProtection="false" borderId="139" fillId="0" fontId="8" numFmtId="0" xfId="0">
      <alignment vertical="center"/>
    </xf>
    <xf applyAlignment="true" applyBorder="false" applyFill="false" applyFont="true" applyNumberFormat="false" applyProtection="false" borderId="140" fillId="0" fontId="8" numFmtId="0" xfId="0">
      <alignment vertical="center"/>
    </xf>
    <xf applyAlignment="true" applyBorder="false" applyFill="false" applyFont="true" applyNumberFormat="false" applyProtection="false" borderId="141" fillId="0" fontId="8" numFmtId="0" xfId="0">
      <alignment vertical="center"/>
    </xf>
    <xf applyAlignment="true" applyBorder="false" applyFill="false" applyFont="true" applyNumberFormat="false" applyProtection="false" borderId="142" fillId="0" fontId="8" numFmtId="0" xfId="0">
      <alignment vertical="center"/>
    </xf>
    <xf applyAlignment="true" applyBorder="false" applyFill="false" applyFont="true" applyNumberFormat="false" applyProtection="false" borderId="143" fillId="0" fontId="8" numFmtId="0" xfId="0">
      <alignment vertical="center"/>
    </xf>
    <xf applyAlignment="true" applyBorder="false" applyFill="false" applyFont="true" applyNumberFormat="false" applyProtection="false" borderId="144" fillId="0" fontId="8" numFmtId="0" xfId="0">
      <alignment horizontal="left" vertical="center" wrapText="true"/>
    </xf>
    <xf applyAlignment="true" applyBorder="false" applyFill="false" applyFont="true" applyNumberFormat="false" applyProtection="false" borderId="145" fillId="0" fontId="4" numFmtId="0" xfId="0">
      <alignment horizontal="left" vertical="center" wrapText="true"/>
    </xf>
    <xf applyAlignment="true" applyBorder="false" applyFill="false" applyFont="true" applyNumberFormat="false" applyProtection="false" borderId="146" fillId="0" fontId="4" numFmtId="0" xfId="0">
      <alignment vertical="center" wrapText="true"/>
    </xf>
    <xf applyAlignment="true" applyBorder="false" applyFill="false" applyFont="true" applyNumberFormat="false" applyProtection="false" borderId="147" fillId="0" fontId="4" numFmtId="0" xfId="0">
      <alignment horizontal="left" vertical="center" wrapText="true"/>
    </xf>
    <xf applyAlignment="true" applyBorder="false" applyFill="false" applyFont="true" applyNumberFormat="false" applyProtection="false" borderId="148" fillId="0" fontId="4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>
      <pane state="frozen" topLeftCell="E4" xSplit="4" ySplit="3"/>
    </sheetView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5"/>
    <col collapsed="false" customWidth="true" hidden="false" max="3" min="3" style="0" width="14"/>
    <col collapsed="false" customWidth="true" hidden="false" max="4" min="4" style="0" width="52"/>
    <col collapsed="false" customWidth="true" hidden="false" max="5" min="5" style="0" width="15"/>
    <col collapsed="false" customWidth="true" hidden="false" max="6" min="6" style="0" width="24"/>
    <col collapsed="false" customWidth="true" hidden="false" max="7" min="7" style="0" width="19"/>
    <col collapsed="false" customWidth="true" hidden="false" max="8" min="8" style="0" width="23"/>
    <col collapsed="false" customWidth="true" hidden="false" max="9" min="9" style="0" width="13"/>
    <col collapsed="false" customWidth="true" hidden="false" max="10" min="10" style="0" width="15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  <col collapsed="false" customWidth="true" hidden="false" max="21" min="21" style="0" width="15"/>
    <col collapsed="false" customWidth="true" hidden="false" max="22" min="22" style="0" width="15"/>
    <col collapsed="false" customWidth="true" hidden="false" max="23" min="23" style="0" width="15"/>
    <col collapsed="false" customWidth="true" hidden="false" max="24" min="24" style="0" width="15"/>
    <col collapsed="false" customWidth="true" hidden="false" max="25" min="25" style="0" width="15"/>
    <col collapsed="false" customWidth="true" hidden="false" max="26" min="26" style="0" width="15"/>
    <col collapsed="false" customWidth="true" hidden="false" max="27" min="27" style="0" width="15"/>
    <col collapsed="false" customWidth="true" hidden="false" max="28" min="28" style="0" width="15"/>
  </cols>
  <sheetData>
    <row customHeight="true" ht="27" r="1">
      <c r="D1" s="25"/>
      <c r="E1" s="23"/>
      <c r="F1" s="22"/>
      <c r="H1" s="22"/>
      <c r="I1" s="23"/>
      <c r="J1" s="24"/>
    </row>
    <row customHeight="true" ht="44" r="2">
      <c r="A2" s="6"/>
      <c r="B2" s="29" t="s">
        <v>1</v>
      </c>
      <c r="C2" s="28"/>
      <c r="D2" s="26"/>
      <c r="E2" s="30"/>
      <c r="F2" s="27"/>
      <c r="G2" s="28"/>
      <c r="H2" s="27"/>
      <c r="I2" s="30"/>
      <c r="J2" s="4"/>
      <c r="K2" s="6"/>
      <c r="L2" s="6"/>
      <c r="M2" s="6"/>
      <c r="N2" s="6"/>
      <c r="O2" s="6"/>
      <c r="P2" s="6"/>
      <c r="Q2" s="6"/>
      <c r="R2" s="6" t="str" xml:space="preserve">
        <v>      mjcc                                                            yj jjjuujjj c5km mkbbb,,v,i, v ,gl .</v>
      </c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6"/>
      <c r="B3" s="36" t="str">
        <v>No</v>
      </c>
      <c r="C3" s="33" t="str">
        <v>Aspects</v>
      </c>
      <c r="D3" s="33" t="str">
        <v>Factors</v>
      </c>
      <c r="E3" s="37" t="str">
        <v>Impact Level / Importance (1-10)
[a]</v>
      </c>
      <c r="F3" s="34" t="str">
        <v>Weightage
[b]</v>
      </c>
      <c r="G3" s="33" t="str">
        <v>Capability (1-10)
[c]</v>
      </c>
      <c r="H3" s="34" t="str">
        <v>Weighted Capability
[b x c]</v>
      </c>
      <c r="I3" s="38" t="str">
        <v>Difference
[a-c]</v>
      </c>
      <c r="J3" s="32"/>
      <c r="K3" s="31" t="str">
        <v>Amin</v>
      </c>
      <c r="L3" s="31"/>
      <c r="M3" s="31" t="str">
        <v>Khairul</v>
      </c>
      <c r="N3" s="31"/>
      <c r="O3" s="31" t="str">
        <v>Azlan</v>
      </c>
      <c r="P3" s="31"/>
      <c r="Q3" s="31" t="str">
        <v>Hafiz</v>
      </c>
      <c r="R3" s="31"/>
      <c r="S3" s="31" t="str">
        <v>Yani</v>
      </c>
      <c r="T3" s="31"/>
      <c r="U3" s="31" t="str">
        <v>Nani</v>
      </c>
      <c r="V3" s="31"/>
      <c r="W3" s="31" t="str">
        <v>Aliff</v>
      </c>
      <c r="X3" s="31"/>
      <c r="Y3" s="31" t="str">
        <v>Asri</v>
      </c>
      <c r="Z3" s="35"/>
      <c r="AA3" s="32"/>
      <c r="AB3" s="32"/>
    </row>
    <row customHeight="true" ht="38" r="4">
      <c r="A4" s="6"/>
      <c r="B4" s="2"/>
      <c r="C4" s="10"/>
      <c r="D4" s="9"/>
      <c r="E4" s="7"/>
      <c r="F4" s="3"/>
      <c r="G4" s="39"/>
      <c r="H4" s="3"/>
      <c r="I4" s="8"/>
      <c r="J4" s="4"/>
      <c r="K4" s="13" t="str">
        <v>Impact</v>
      </c>
      <c r="L4" s="13" t="str">
        <v>Capability</v>
      </c>
      <c r="M4" s="13" t="str">
        <v>Impact</v>
      </c>
      <c r="N4" s="13" t="str">
        <v>Capability</v>
      </c>
      <c r="O4" s="13" t="str">
        <v>Impact</v>
      </c>
      <c r="P4" s="13" t="str">
        <v>Capability</v>
      </c>
      <c r="Q4" s="13" t="str">
        <v>Impact</v>
      </c>
      <c r="R4" s="13" t="str">
        <v>Capability</v>
      </c>
      <c r="S4" s="13" t="str">
        <v>Impact</v>
      </c>
      <c r="T4" s="13" t="str">
        <v>Capability</v>
      </c>
      <c r="U4" s="13" t="str">
        <v>Impact</v>
      </c>
      <c r="V4" s="13" t="str">
        <v>Capability</v>
      </c>
      <c r="W4" s="13" t="str">
        <v>Impact</v>
      </c>
      <c r="X4" s="13" t="str">
        <v>Capability</v>
      </c>
      <c r="Y4" s="14" t="str">
        <v>Impact</v>
      </c>
      <c r="Z4" s="1" t="str">
        <v>Capability</v>
      </c>
      <c r="AA4" s="6"/>
      <c r="AB4" s="6"/>
    </row>
    <row r="5">
      <c r="A5" s="6"/>
      <c r="B5" s="2">
        <v>2</v>
      </c>
      <c r="C5" s="10" t="str">
        <v>Financial</v>
      </c>
      <c r="D5" s="9" t="str">
        <v>Limited revolving fund</v>
      </c>
      <c r="E5" s="7">
        <f>AVERAGE(K5,M5,O5,Q5,S5,U5,W5,Y5)</f>
      </c>
      <c r="F5" s="3">
        <f>E5/$E$40</f>
      </c>
      <c r="G5" s="7">
        <f>AVERAGE(L5,N5,P5,R5,T5,V5,X5,Z5)</f>
      </c>
      <c r="H5" s="3">
        <f>G5*F5</f>
      </c>
      <c r="I5" s="8">
        <f>E5-G5</f>
      </c>
      <c r="J5" s="4"/>
      <c r="K5" s="1">
        <v>10</v>
      </c>
      <c r="L5" s="1">
        <v>2</v>
      </c>
      <c r="M5" s="1">
        <v>10</v>
      </c>
      <c r="N5" s="1">
        <v>5</v>
      </c>
      <c r="O5" s="1">
        <v>10</v>
      </c>
      <c r="P5" s="1">
        <v>6</v>
      </c>
      <c r="Q5" s="1">
        <v>9</v>
      </c>
      <c r="R5" s="1">
        <v>2</v>
      </c>
      <c r="S5" s="1">
        <v>9</v>
      </c>
      <c r="T5" s="1">
        <v>2</v>
      </c>
      <c r="U5" s="1">
        <v>9</v>
      </c>
      <c r="V5" s="1">
        <v>5</v>
      </c>
      <c r="W5" s="1">
        <v>8</v>
      </c>
      <c r="X5" s="1">
        <v>10</v>
      </c>
      <c r="Y5" s="5">
        <v>9</v>
      </c>
      <c r="Z5" s="1">
        <v>2</v>
      </c>
      <c r="AA5" s="6"/>
      <c r="AB5" s="6"/>
    </row>
    <row customHeight="true" ht="22" r="6">
      <c r="A6" s="6"/>
      <c r="B6" s="2">
        <v>1</v>
      </c>
      <c r="C6" s="10" t="str">
        <v>Financial</v>
      </c>
      <c r="D6" s="9" t="str">
        <v>Capability of Green Financing (Readiness to apply for green financing)</v>
      </c>
      <c r="E6" s="7">
        <f>AVERAGE(K6,M6,O6,Q6,S6,U6,W6,Y6)</f>
      </c>
      <c r="F6" s="3">
        <f>E6/$E$40</f>
      </c>
      <c r="G6" s="7">
        <f>AVERAGE(L6,N6,P6,R6,T6,V6,X6,Z6)</f>
      </c>
      <c r="H6" s="3">
        <f>G6*F6</f>
      </c>
      <c r="I6" s="8">
        <f>E6-G6</f>
      </c>
      <c r="J6" s="4"/>
      <c r="K6" s="13">
        <v>10</v>
      </c>
      <c r="L6" s="13">
        <v>3</v>
      </c>
      <c r="M6" s="13">
        <v>7</v>
      </c>
      <c r="N6" s="13">
        <v>3</v>
      </c>
      <c r="O6" s="13">
        <v>8</v>
      </c>
      <c r="P6" s="13">
        <v>3</v>
      </c>
      <c r="Q6" s="13">
        <v>9</v>
      </c>
      <c r="R6" s="13">
        <v>2</v>
      </c>
      <c r="S6" s="13">
        <v>5</v>
      </c>
      <c r="T6" s="13">
        <v>2</v>
      </c>
      <c r="U6" s="13">
        <v>9</v>
      </c>
      <c r="V6" s="13">
        <v>5</v>
      </c>
      <c r="W6" s="13">
        <v>9</v>
      </c>
      <c r="X6" s="13">
        <v>8</v>
      </c>
      <c r="Y6" s="14">
        <v>9</v>
      </c>
      <c r="Z6" s="1">
        <v>6</v>
      </c>
      <c r="AA6" s="6"/>
      <c r="AB6" s="6"/>
    </row>
    <row customHeight="true" ht="22" r="7">
      <c r="A7" s="6"/>
      <c r="B7" s="2">
        <v>3</v>
      </c>
      <c r="C7" s="10" t="str">
        <v>Financial</v>
      </c>
      <c r="D7" s="9" t="str">
        <v>Unoptimised financing</v>
      </c>
      <c r="E7" s="7">
        <f>AVERAGE(K7,M7,O7,Q7,S7,U7,W7,Y7)</f>
      </c>
      <c r="F7" s="3">
        <f>E7/$E$40</f>
      </c>
      <c r="G7" s="7">
        <f>AVERAGE(L7,N7,P7,R7,T7,V7,X7,Z7)</f>
      </c>
      <c r="H7" s="3">
        <f>G7*F7</f>
      </c>
      <c r="I7" s="8">
        <f>E7-G7</f>
      </c>
      <c r="J7" s="4"/>
      <c r="K7" s="1">
        <v>9</v>
      </c>
      <c r="L7" s="1">
        <v>5</v>
      </c>
      <c r="M7" s="1">
        <v>6</v>
      </c>
      <c r="N7" s="1">
        <v>5</v>
      </c>
      <c r="O7" s="1">
        <v>7</v>
      </c>
      <c r="P7" s="1">
        <v>3</v>
      </c>
      <c r="Q7" s="1">
        <v>6</v>
      </c>
      <c r="R7" s="1">
        <v>2</v>
      </c>
      <c r="S7" s="1">
        <v>9</v>
      </c>
      <c r="T7" s="1">
        <v>2</v>
      </c>
      <c r="U7" s="1">
        <v>8</v>
      </c>
      <c r="V7" s="1">
        <v>7</v>
      </c>
      <c r="W7" s="1">
        <v>6</v>
      </c>
      <c r="X7" s="1">
        <v>7</v>
      </c>
      <c r="Y7" s="5">
        <v>9</v>
      </c>
      <c r="Z7" s="1">
        <v>2</v>
      </c>
      <c r="AA7" s="6"/>
      <c r="AB7" s="6"/>
    </row>
    <row customHeight="true" ht="22" r="8">
      <c r="A8" s="6"/>
      <c r="B8" s="2">
        <v>19</v>
      </c>
      <c r="C8" s="10" t="str">
        <v>Marketing</v>
      </c>
      <c r="D8" s="9" t="str">
        <v>No available salesperson</v>
      </c>
      <c r="E8" s="7">
        <f>AVERAGE(K8,M8,O8,Q8,S8,U8,W8,Y8)</f>
      </c>
      <c r="F8" s="3">
        <f>E8/$E$40</f>
      </c>
      <c r="G8" s="12">
        <f>AVERAGE(L8,N8,P8,R8,T8,V8,X8,Z8)</f>
      </c>
      <c r="H8" s="3">
        <f>G8*F8</f>
      </c>
      <c r="I8" s="8">
        <f>E8-G8</f>
      </c>
      <c r="J8" s="4"/>
      <c r="K8" s="1">
        <v>10</v>
      </c>
      <c r="L8" s="1">
        <v>7</v>
      </c>
      <c r="M8" s="1">
        <v>8</v>
      </c>
      <c r="N8" s="1">
        <v>6</v>
      </c>
      <c r="O8" s="1">
        <v>9</v>
      </c>
      <c r="P8" s="1">
        <v>6</v>
      </c>
      <c r="Q8" s="1">
        <v>8</v>
      </c>
      <c r="R8" s="1">
        <v>5</v>
      </c>
      <c r="S8" s="1">
        <v>6</v>
      </c>
      <c r="T8" s="1">
        <v>3</v>
      </c>
      <c r="U8" s="1">
        <v>7</v>
      </c>
      <c r="V8" s="1">
        <v>5</v>
      </c>
      <c r="W8" s="1">
        <v>9</v>
      </c>
      <c r="X8" s="1">
        <v>8</v>
      </c>
      <c r="Y8" s="5">
        <v>8</v>
      </c>
      <c r="Z8" s="1">
        <v>3</v>
      </c>
      <c r="AA8" s="6"/>
      <c r="AB8" s="6"/>
    </row>
    <row customHeight="true" ht="22" r="9">
      <c r="A9" s="6"/>
      <c r="B9" s="2">
        <v>20</v>
      </c>
      <c r="C9" s="10" t="str">
        <v>Marketing</v>
      </c>
      <c r="D9" s="9" t="str">
        <v>No Businesss Development exec</v>
      </c>
      <c r="E9" s="7">
        <f>AVERAGE(K9,M9,O9,Q9,S9,U9,W9,Y9)</f>
      </c>
      <c r="F9" s="3">
        <f>E9/$E$40</f>
      </c>
      <c r="G9" s="12">
        <f>AVERAGE(L9,N9,P9,R9,T9,V9,X9,Z9)</f>
      </c>
      <c r="H9" s="3">
        <f>G9*F9</f>
      </c>
      <c r="I9" s="8">
        <f>E9-G9</f>
      </c>
      <c r="J9" s="4"/>
      <c r="K9" s="1">
        <v>9</v>
      </c>
      <c r="L9" s="1">
        <v>7</v>
      </c>
      <c r="M9" s="1">
        <v>8</v>
      </c>
      <c r="N9" s="1">
        <v>6</v>
      </c>
      <c r="O9" s="1">
        <v>9</v>
      </c>
      <c r="P9" s="1">
        <v>6</v>
      </c>
      <c r="Q9" s="1">
        <v>9</v>
      </c>
      <c r="R9" s="1">
        <v>5</v>
      </c>
      <c r="S9" s="1">
        <v>6</v>
      </c>
      <c r="T9" s="1">
        <v>3</v>
      </c>
      <c r="U9" s="1">
        <v>8</v>
      </c>
      <c r="V9" s="1">
        <v>5</v>
      </c>
      <c r="W9" s="1">
        <v>7</v>
      </c>
      <c r="X9" s="1">
        <v>6</v>
      </c>
      <c r="Y9" s="5">
        <v>7</v>
      </c>
      <c r="Z9" s="1">
        <v>4</v>
      </c>
      <c r="AA9" s="6"/>
      <c r="AB9" s="6"/>
    </row>
    <row r="10">
      <c r="A10" s="6"/>
      <c r="B10" s="2">
        <v>12</v>
      </c>
      <c r="C10" s="10" t="str">
        <v>Management</v>
      </c>
      <c r="D10" s="9" t="str">
        <v>Unavailable of asset management policy (Claims, HR Policies, Company benefits)</v>
      </c>
      <c r="E10" s="7">
        <f>AVERAGE(K10,M10,O10,Q10,S10,U10,W10,Y10)</f>
      </c>
      <c r="F10" s="3">
        <f>E10/$E$40</f>
      </c>
      <c r="G10" s="12">
        <f>AVERAGE(L10,N10,P10,R10,T10,V10,X10,Z10)</f>
      </c>
      <c r="H10" s="3">
        <f>G10*F10</f>
      </c>
      <c r="I10" s="8">
        <f>E10-G10</f>
      </c>
      <c r="J10" s="4"/>
      <c r="K10" s="1">
        <v>10</v>
      </c>
      <c r="L10" s="1">
        <v>6</v>
      </c>
      <c r="M10" s="1">
        <v>8</v>
      </c>
      <c r="N10" s="1">
        <v>6</v>
      </c>
      <c r="O10" s="1">
        <v>10</v>
      </c>
      <c r="P10" s="1">
        <v>8</v>
      </c>
      <c r="Q10" s="1">
        <v>5</v>
      </c>
      <c r="R10" s="1">
        <v>5</v>
      </c>
      <c r="S10" s="1">
        <v>9</v>
      </c>
      <c r="T10" s="1">
        <v>2</v>
      </c>
      <c r="U10" s="1">
        <v>8</v>
      </c>
      <c r="V10" s="1">
        <v>6</v>
      </c>
      <c r="W10" s="1">
        <v>5</v>
      </c>
      <c r="X10" s="1">
        <v>5</v>
      </c>
      <c r="Y10" s="5">
        <v>7</v>
      </c>
      <c r="Z10" s="1">
        <v>4</v>
      </c>
      <c r="AA10" s="6"/>
      <c r="AB10" s="6"/>
    </row>
    <row customHeight="true" ht="19" r="11">
      <c r="A11" s="6"/>
      <c r="B11" s="2">
        <v>8</v>
      </c>
      <c r="C11" s="10" t="str">
        <v>Management</v>
      </c>
      <c r="D11" s="9" t="str">
        <v>Not available in terms of skill development road map</v>
      </c>
      <c r="E11" s="7">
        <f>AVERAGE(K11,M11,O11,Q11,S11,U11,W11,Y11)</f>
      </c>
      <c r="F11" s="3">
        <f>E11/$E$40</f>
      </c>
      <c r="G11" s="7">
        <f>AVERAGE(L11,N11,P11,R11,T11,V11,X11,Z11)</f>
      </c>
      <c r="H11" s="3">
        <f>G11*F11</f>
      </c>
      <c r="I11" s="8">
        <f>E11-G11</f>
      </c>
      <c r="J11" s="4"/>
      <c r="K11" s="1">
        <v>10</v>
      </c>
      <c r="L11" s="1">
        <v>5</v>
      </c>
      <c r="M11" s="1">
        <v>8</v>
      </c>
      <c r="N11" s="1">
        <v>6</v>
      </c>
      <c r="O11" s="1">
        <v>10</v>
      </c>
      <c r="P11" s="1">
        <v>7</v>
      </c>
      <c r="Q11" s="1">
        <v>8</v>
      </c>
      <c r="R11" s="1">
        <v>5</v>
      </c>
      <c r="S11" s="1">
        <v>8</v>
      </c>
      <c r="T11" s="1">
        <v>5</v>
      </c>
      <c r="U11" s="1">
        <v>9</v>
      </c>
      <c r="V11" s="1">
        <v>8</v>
      </c>
      <c r="W11" s="1">
        <v>7</v>
      </c>
      <c r="X11" s="1">
        <v>7</v>
      </c>
      <c r="Y11" s="5">
        <v>8</v>
      </c>
      <c r="Z11" s="1">
        <v>6</v>
      </c>
      <c r="AA11" s="6"/>
      <c r="AB11" s="6"/>
    </row>
    <row r="12">
      <c r="A12" s="6"/>
      <c r="B12" s="2">
        <v>27</v>
      </c>
      <c r="C12" s="10" t="str">
        <v>Operation</v>
      </c>
      <c r="D12" s="11" t="str">
        <v>No account manager for Creative</v>
      </c>
      <c r="E12" s="7">
        <f>AVERAGE(K12,M12,O12,Q12,S12,U12,W12,Y12)</f>
      </c>
      <c r="F12" s="3">
        <f>E12/$E$40</f>
      </c>
      <c r="G12" s="12">
        <f>AVERAGE(L12,N12,P12,R12,T12,V12,X12,Z12)</f>
      </c>
      <c r="H12" s="3">
        <f>G12*F12</f>
      </c>
      <c r="I12" s="8">
        <f>E12-G12</f>
      </c>
      <c r="J12" s="4"/>
      <c r="K12" s="1">
        <v>10</v>
      </c>
      <c r="L12" s="1">
        <v>7</v>
      </c>
      <c r="M12" s="1">
        <v>8</v>
      </c>
      <c r="N12" s="1">
        <v>7</v>
      </c>
      <c r="O12" s="1">
        <v>8</v>
      </c>
      <c r="P12" s="1">
        <v>6</v>
      </c>
      <c r="Q12" s="1">
        <v>8</v>
      </c>
      <c r="R12" s="1">
        <v>6</v>
      </c>
      <c r="S12" s="1">
        <v>6</v>
      </c>
      <c r="T12" s="1">
        <v>3</v>
      </c>
      <c r="U12" s="1">
        <v>8</v>
      </c>
      <c r="V12" s="1">
        <v>5</v>
      </c>
      <c r="W12" s="1">
        <v>8</v>
      </c>
      <c r="X12" s="1">
        <v>6</v>
      </c>
      <c r="Y12" s="5">
        <v>7</v>
      </c>
      <c r="Z12" s="1">
        <v>5</v>
      </c>
      <c r="AA12" s="6"/>
      <c r="AB12" s="6"/>
    </row>
    <row customHeight="true" ht="19" r="13">
      <c r="A13" s="6"/>
      <c r="B13" s="2">
        <v>16</v>
      </c>
      <c r="C13" s="10" t="str">
        <v>Marketing</v>
      </c>
      <c r="D13" s="9" t="str">
        <v>Strategic marketing plan</v>
      </c>
      <c r="E13" s="7">
        <f>AVERAGE(K13,M13,O13,Q13,S13,U13,W13,Y13)</f>
      </c>
      <c r="F13" s="3">
        <f>E13/$E$40</f>
      </c>
      <c r="G13" s="12">
        <f>AVERAGE(L13,N13,P13,R13,T13,V13,X13,Z13)</f>
      </c>
      <c r="H13" s="3">
        <f>G13*F13</f>
      </c>
      <c r="I13" s="8">
        <f>E13-G13</f>
      </c>
      <c r="J13" s="4"/>
      <c r="K13" s="1">
        <v>9</v>
      </c>
      <c r="L13" s="1">
        <v>7</v>
      </c>
      <c r="M13" s="1">
        <v>10</v>
      </c>
      <c r="N13" s="1">
        <v>5</v>
      </c>
      <c r="O13" s="1">
        <v>10</v>
      </c>
      <c r="P13" s="1">
        <v>7</v>
      </c>
      <c r="Q13" s="1">
        <v>8</v>
      </c>
      <c r="R13" s="1">
        <v>5</v>
      </c>
      <c r="S13" s="1">
        <v>6</v>
      </c>
      <c r="T13" s="1">
        <v>5</v>
      </c>
      <c r="U13" s="1">
        <v>9</v>
      </c>
      <c r="V13" s="1">
        <v>8</v>
      </c>
      <c r="W13" s="1">
        <v>8</v>
      </c>
      <c r="X13" s="1">
        <v>8</v>
      </c>
      <c r="Y13" s="5">
        <v>8</v>
      </c>
      <c r="Z13" s="1">
        <v>7</v>
      </c>
      <c r="AA13" s="6"/>
      <c r="AB13" s="6"/>
    </row>
    <row customHeight="true" ht="19" r="14">
      <c r="A14" s="6"/>
      <c r="B14" s="2">
        <v>34</v>
      </c>
      <c r="C14" s="10" t="str">
        <v>Operation</v>
      </c>
      <c r="D14" s="11" t="str">
        <v>Unqualified clients</v>
      </c>
      <c r="E14" s="7">
        <f>AVERAGE(K14,M14,O14,Q14,S14,U14,W14,Y14)</f>
      </c>
      <c r="F14" s="3">
        <f>E14/$E$40</f>
      </c>
      <c r="G14" s="12">
        <f>AVERAGE(L14,N14,P14,R14,T14,V14,X14,Z14)</f>
      </c>
      <c r="H14" s="3">
        <f>G14*F14</f>
      </c>
      <c r="I14" s="8">
        <f>E14-G14</f>
      </c>
      <c r="J14" s="4"/>
      <c r="K14" s="1">
        <v>8</v>
      </c>
      <c r="L14" s="1">
        <v>2</v>
      </c>
      <c r="M14" s="1">
        <v>7</v>
      </c>
      <c r="N14" s="1">
        <v>8</v>
      </c>
      <c r="O14" s="1">
        <v>8</v>
      </c>
      <c r="P14" s="1">
        <v>6</v>
      </c>
      <c r="Q14" s="1">
        <v>8</v>
      </c>
      <c r="R14" s="1">
        <v>5</v>
      </c>
      <c r="S14" s="1">
        <v>8</v>
      </c>
      <c r="T14" s="1">
        <v>5</v>
      </c>
      <c r="U14" s="1">
        <v>8</v>
      </c>
      <c r="V14" s="1">
        <v>9</v>
      </c>
      <c r="W14" s="1">
        <v>9</v>
      </c>
      <c r="X14" s="1">
        <v>7</v>
      </c>
      <c r="Y14" s="5">
        <v>9</v>
      </c>
      <c r="Z14" s="1">
        <v>7</v>
      </c>
      <c r="AA14" s="6"/>
      <c r="AB14" s="6"/>
    </row>
    <row customHeight="true" ht="19" r="15">
      <c r="A15" s="6"/>
      <c r="B15" s="2">
        <v>10</v>
      </c>
      <c r="C15" s="10" t="str">
        <v>Management</v>
      </c>
      <c r="D15" s="9" t="str">
        <v>Not optimise of BrioHR</v>
      </c>
      <c r="E15" s="7">
        <f>AVERAGE(K15,M15,O15,Q15,S15,U15,W15,Y15)</f>
      </c>
      <c r="F15" s="3">
        <f>E15/$E$40</f>
      </c>
      <c r="G15" s="7">
        <f>AVERAGE(L15,N15,P15,R15,T15,V15,X15,Z15)</f>
      </c>
      <c r="H15" s="3">
        <f>G15*F15</f>
      </c>
      <c r="I15" s="8">
        <f>E15-G15</f>
      </c>
      <c r="J15" s="4"/>
      <c r="K15" s="1">
        <v>7</v>
      </c>
      <c r="L15" s="1">
        <v>9</v>
      </c>
      <c r="M15" s="1">
        <v>6</v>
      </c>
      <c r="N15" s="1">
        <v>6</v>
      </c>
      <c r="O15" s="1">
        <v>8</v>
      </c>
      <c r="P15" s="1">
        <v>8</v>
      </c>
      <c r="Q15" s="1">
        <v>10</v>
      </c>
      <c r="R15" s="1">
        <v>5</v>
      </c>
      <c r="S15" s="1">
        <v>9</v>
      </c>
      <c r="T15" s="1">
        <v>3</v>
      </c>
      <c r="U15" s="1">
        <v>10</v>
      </c>
      <c r="V15" s="1">
        <v>7</v>
      </c>
      <c r="W15" s="1">
        <v>7</v>
      </c>
      <c r="X15" s="1">
        <v>8</v>
      </c>
      <c r="Y15" s="5">
        <v>9</v>
      </c>
      <c r="Z15" s="1">
        <v>5</v>
      </c>
      <c r="AA15" s="6"/>
      <c r="AB15" s="6"/>
    </row>
    <row r="16">
      <c r="A16" s="6"/>
      <c r="B16" s="2">
        <v>17</v>
      </c>
      <c r="C16" s="10" t="str">
        <v>Marketing</v>
      </c>
      <c r="D16" s="9" t="str">
        <v>Not ready for B2C and not optimise on B2B</v>
      </c>
      <c r="E16" s="7">
        <f>AVERAGE(K16,M16,O16,Q16,S16,U16,W16,Y16)</f>
      </c>
      <c r="F16" s="3">
        <f>E16/$E$40</f>
      </c>
      <c r="G16" s="12">
        <f>AVERAGE(L16,N16,P16,R16,T16,V16,X16,Z16)</f>
      </c>
      <c r="H16" s="3">
        <f>G16*F16</f>
      </c>
      <c r="I16" s="8">
        <f>E16-G16</f>
      </c>
      <c r="J16" s="4"/>
      <c r="K16" s="1">
        <v>5</v>
      </c>
      <c r="L16" s="1">
        <v>3</v>
      </c>
      <c r="M16" s="1">
        <v>5</v>
      </c>
      <c r="N16" s="1">
        <v>3</v>
      </c>
      <c r="O16" s="1">
        <v>9</v>
      </c>
      <c r="P16" s="1">
        <v>5</v>
      </c>
      <c r="Q16" s="1">
        <v>3</v>
      </c>
      <c r="R16" s="1">
        <v>3</v>
      </c>
      <c r="S16" s="1">
        <v>2</v>
      </c>
      <c r="T16" s="1">
        <v>2</v>
      </c>
      <c r="U16" s="1">
        <v>6</v>
      </c>
      <c r="V16" s="1">
        <v>4</v>
      </c>
      <c r="W16" s="1">
        <v>9</v>
      </c>
      <c r="X16" s="1">
        <v>7</v>
      </c>
      <c r="Y16" s="5">
        <v>2</v>
      </c>
      <c r="Z16" s="1">
        <v>2</v>
      </c>
      <c r="AA16" s="6"/>
      <c r="AB16" s="6"/>
    </row>
    <row customHeight="true" ht="19" r="17">
      <c r="A17" s="6"/>
      <c r="B17" s="2">
        <v>25</v>
      </c>
      <c r="C17" s="10" t="str">
        <v>Operation</v>
      </c>
      <c r="D17" s="11" t="str">
        <v>Availability of partnership with supplier for sustainable goods</v>
      </c>
      <c r="E17" s="7">
        <f>AVERAGE(K17,M17,O17,Q17,S17,U17,W17,Y17)</f>
      </c>
      <c r="F17" s="3">
        <f>E17/$E$40</f>
      </c>
      <c r="G17" s="12">
        <f>AVERAGE(L17,N17,P17,R17,T17,V17,X17,Z17)</f>
      </c>
      <c r="H17" s="3">
        <f>G17*F17</f>
      </c>
      <c r="I17" s="8">
        <f>E17-G17</f>
      </c>
      <c r="J17" s="4"/>
      <c r="K17" s="1">
        <v>9</v>
      </c>
      <c r="L17" s="1">
        <v>4</v>
      </c>
      <c r="M17" s="1">
        <v>6</v>
      </c>
      <c r="N17" s="1">
        <v>3</v>
      </c>
      <c r="O17" s="1">
        <v>8</v>
      </c>
      <c r="P17" s="1">
        <v>6</v>
      </c>
      <c r="Q17" s="1">
        <v>9</v>
      </c>
      <c r="R17" s="1">
        <v>8</v>
      </c>
      <c r="S17" s="1">
        <v>8</v>
      </c>
      <c r="T17" s="1">
        <v>8</v>
      </c>
      <c r="U17" s="1">
        <v>9</v>
      </c>
      <c r="V17" s="1">
        <v>9</v>
      </c>
      <c r="W17" s="1">
        <v>9</v>
      </c>
      <c r="X17" s="1">
        <v>9</v>
      </c>
      <c r="Y17" s="5">
        <v>9</v>
      </c>
      <c r="Z17" s="1">
        <v>8</v>
      </c>
      <c r="AA17" s="6"/>
      <c r="AB17" s="6"/>
    </row>
    <row customHeight="true" ht="19" r="18">
      <c r="A18" s="6"/>
      <c r="B18" s="2">
        <v>30</v>
      </c>
      <c r="C18" s="10" t="str">
        <v>Operation</v>
      </c>
      <c r="D18" s="11" t="str">
        <v>Inefficient of stock inventory</v>
      </c>
      <c r="E18" s="7">
        <f>AVERAGE(K18,M18,O18,Q18,S18,U18,W18,Y18)</f>
      </c>
      <c r="F18" s="3">
        <f>E18/$E$40</f>
      </c>
      <c r="G18" s="12">
        <f>AVERAGE(L18,N18,P18,R18,T18,V18,X18,Z18)</f>
      </c>
      <c r="H18" s="3">
        <f>G18*F18</f>
      </c>
      <c r="I18" s="8">
        <f>E18-G18</f>
      </c>
      <c r="J18" s="4"/>
      <c r="K18" s="1">
        <v>9</v>
      </c>
      <c r="L18" s="1">
        <v>6</v>
      </c>
      <c r="M18" s="1">
        <v>7</v>
      </c>
      <c r="N18" s="1">
        <v>6</v>
      </c>
      <c r="O18" s="1">
        <v>6</v>
      </c>
      <c r="P18" s="1">
        <v>5</v>
      </c>
      <c r="Q18" s="1">
        <v>7</v>
      </c>
      <c r="R18" s="1">
        <v>5</v>
      </c>
      <c r="S18" s="1">
        <v>8</v>
      </c>
      <c r="T18" s="1">
        <v>8</v>
      </c>
      <c r="U18" s="1">
        <v>9</v>
      </c>
      <c r="V18" s="1">
        <v>8</v>
      </c>
      <c r="W18" s="1">
        <v>5</v>
      </c>
      <c r="X18" s="1">
        <v>4</v>
      </c>
      <c r="Y18" s="5">
        <v>7</v>
      </c>
      <c r="Z18" s="1">
        <v>4</v>
      </c>
      <c r="AA18" s="6"/>
      <c r="AB18" s="6"/>
    </row>
    <row customHeight="true" ht="19" r="19">
      <c r="A19" s="6"/>
      <c r="B19" s="2">
        <v>33</v>
      </c>
      <c r="C19" s="10" t="str">
        <v>Operation</v>
      </c>
      <c r="D19" s="11" t="str">
        <v>Not enough Manpower for new initiatives</v>
      </c>
      <c r="E19" s="7">
        <f>AVERAGE(K19,M19,O19,Q19,S19,U19,W19,Y19)</f>
      </c>
      <c r="F19" s="3">
        <f>E19/$E$40</f>
      </c>
      <c r="G19" s="12">
        <f>AVERAGE(L19,N19,P19,R19,T19,V19,X19,Z19)</f>
      </c>
      <c r="H19" s="3">
        <f>G19*F19</f>
      </c>
      <c r="I19" s="8">
        <f>E19-G19</f>
      </c>
      <c r="J19" s="4"/>
      <c r="K19" s="1">
        <v>8</v>
      </c>
      <c r="L19" s="1">
        <v>2</v>
      </c>
      <c r="M19" s="1">
        <v>6</v>
      </c>
      <c r="N19" s="1">
        <v>2</v>
      </c>
      <c r="O19" s="1">
        <v>8</v>
      </c>
      <c r="P19" s="1">
        <v>6</v>
      </c>
      <c r="Q19" s="1">
        <v>8</v>
      </c>
      <c r="R19" s="1">
        <v>5</v>
      </c>
      <c r="S19" s="1">
        <v>2</v>
      </c>
      <c r="T19" s="1">
        <v>8</v>
      </c>
      <c r="U19" s="1">
        <v>8</v>
      </c>
      <c r="V19" s="1">
        <v>9</v>
      </c>
      <c r="W19" s="1">
        <v>9</v>
      </c>
      <c r="X19" s="1">
        <v>7</v>
      </c>
      <c r="Y19" s="5">
        <v>9</v>
      </c>
      <c r="Z19" s="1">
        <v>7</v>
      </c>
      <c r="AA19" s="6"/>
      <c r="AB19" s="6"/>
    </row>
    <row customHeight="true" ht="19" r="20">
      <c r="A20" s="6"/>
      <c r="B20" s="2">
        <v>9</v>
      </c>
      <c r="C20" s="10" t="str">
        <v>Management</v>
      </c>
      <c r="D20" s="9" t="str">
        <v>Openess of new business</v>
      </c>
      <c r="E20" s="7">
        <f>AVERAGE(K20,M20,O20,Q20,S20,U20,W20,Y20)</f>
      </c>
      <c r="F20" s="3">
        <f>E20/$E$40</f>
      </c>
      <c r="G20" s="7">
        <f>AVERAGE(L20,N20,P20,R20,T20,V20,X20,Z20)</f>
      </c>
      <c r="H20" s="3">
        <f>G20*F20</f>
      </c>
      <c r="I20" s="8">
        <f>E20-G20</f>
      </c>
      <c r="J20" s="4"/>
      <c r="K20" s="1">
        <v>8</v>
      </c>
      <c r="L20" s="1">
        <v>6</v>
      </c>
      <c r="M20" s="1">
        <v>4</v>
      </c>
      <c r="N20" s="1">
        <v>7</v>
      </c>
      <c r="O20" s="1">
        <v>3</v>
      </c>
      <c r="P20" s="1">
        <v>5</v>
      </c>
      <c r="Q20" s="1">
        <v>5</v>
      </c>
      <c r="R20" s="1">
        <v>5</v>
      </c>
      <c r="S20" s="1">
        <v>9</v>
      </c>
      <c r="T20" s="1">
        <v>5</v>
      </c>
      <c r="U20" s="1">
        <v>9</v>
      </c>
      <c r="V20" s="1">
        <v>6</v>
      </c>
      <c r="W20" s="1">
        <v>9</v>
      </c>
      <c r="X20" s="1">
        <v>6</v>
      </c>
      <c r="Y20" s="5">
        <v>9</v>
      </c>
      <c r="Z20" s="1">
        <v>5</v>
      </c>
      <c r="AA20" s="6"/>
      <c r="AB20" s="6"/>
    </row>
    <row customHeight="true" ht="19" r="21">
      <c r="A21" s="6"/>
      <c r="B21" s="2">
        <v>18</v>
      </c>
      <c r="C21" s="10" t="str">
        <v>Marketing</v>
      </c>
      <c r="D21" s="9" t="str">
        <v>Need more variation of clients (more clients not PETRONAS)</v>
      </c>
      <c r="E21" s="7">
        <f>AVERAGE(K21,M21,O21,Q21,S21,U21,W21,Y21)</f>
      </c>
      <c r="F21" s="3">
        <f>E21/$E$40</f>
      </c>
      <c r="G21" s="12">
        <f>AVERAGE(L21,N21,P21,R21,T21,V21,X21,Z21)</f>
      </c>
      <c r="H21" s="3">
        <f>G21*F21</f>
      </c>
      <c r="I21" s="8">
        <f>E21-G21</f>
      </c>
      <c r="J21" s="4"/>
      <c r="K21" s="1">
        <v>8</v>
      </c>
      <c r="L21" s="1">
        <v>5</v>
      </c>
      <c r="M21" s="1">
        <v>7</v>
      </c>
      <c r="N21" s="1">
        <v>6</v>
      </c>
      <c r="O21" s="1">
        <v>6</v>
      </c>
      <c r="P21" s="1">
        <v>5</v>
      </c>
      <c r="Q21" s="1">
        <v>8</v>
      </c>
      <c r="R21" s="1">
        <v>5</v>
      </c>
      <c r="S21" s="1">
        <v>5</v>
      </c>
      <c r="T21" s="1">
        <v>8</v>
      </c>
      <c r="U21" s="1">
        <v>9</v>
      </c>
      <c r="V21" s="1">
        <v>8</v>
      </c>
      <c r="W21" s="1">
        <v>10</v>
      </c>
      <c r="X21" s="1">
        <v>6</v>
      </c>
      <c r="Y21" s="5">
        <v>8</v>
      </c>
      <c r="Z21" s="1">
        <v>7</v>
      </c>
      <c r="AA21" s="6"/>
      <c r="AB21" s="6"/>
    </row>
    <row r="22">
      <c r="A22" s="6"/>
      <c r="B22" s="2">
        <v>4</v>
      </c>
      <c r="C22" s="10" t="str">
        <v>Financial</v>
      </c>
      <c r="D22" s="9" t="str">
        <v>Unavailable of corporate credit card</v>
      </c>
      <c r="E22" s="7">
        <f>AVERAGE(K22,M22,O22,Q22,S22,U22,W22,Y22)</f>
      </c>
      <c r="F22" s="3">
        <f>E22/$E$40</f>
      </c>
      <c r="G22" s="7">
        <f>AVERAGE(L22,N22,P22,R22,T22,V22,X22,Z22)</f>
      </c>
      <c r="H22" s="3">
        <f>G22*F22</f>
      </c>
      <c r="I22" s="8">
        <f>E22-G22</f>
      </c>
      <c r="J22" s="4"/>
      <c r="K22" s="1">
        <v>5</v>
      </c>
      <c r="L22" s="1">
        <v>5</v>
      </c>
      <c r="M22" s="1">
        <v>6</v>
      </c>
      <c r="N22" s="1">
        <v>7</v>
      </c>
      <c r="O22" s="1">
        <v>10</v>
      </c>
      <c r="P22" s="1">
        <v>9</v>
      </c>
      <c r="Q22" s="1">
        <v>10</v>
      </c>
      <c r="R22" s="1">
        <v>7</v>
      </c>
      <c r="S22" s="1">
        <v>9</v>
      </c>
      <c r="T22" s="1">
        <v>9</v>
      </c>
      <c r="U22" s="1">
        <v>9</v>
      </c>
      <c r="V22" s="1">
        <v>7</v>
      </c>
      <c r="W22" s="1">
        <v>10</v>
      </c>
      <c r="X22" s="1">
        <v>7</v>
      </c>
      <c r="Y22" s="5">
        <v>7</v>
      </c>
      <c r="Z22" s="1">
        <v>5</v>
      </c>
      <c r="AA22" s="6"/>
      <c r="AB22" s="6"/>
    </row>
    <row customHeight="true" ht="19" r="23">
      <c r="A23" s="6"/>
      <c r="B23" s="2">
        <v>11</v>
      </c>
      <c r="C23" s="10" t="str">
        <v>Management</v>
      </c>
      <c r="D23" s="9" t="str">
        <v>Management aware of green business</v>
      </c>
      <c r="E23" s="7">
        <f>AVERAGE(K23,M23,O23,Q23,S23,U23,W23,Y23)</f>
      </c>
      <c r="F23" s="3">
        <f>E23/$E$40</f>
      </c>
      <c r="G23" s="12">
        <f>AVERAGE(L23,N23,P23,R23,T23,V23,X23,Z23)</f>
      </c>
      <c r="H23" s="3">
        <f>G23*F23</f>
      </c>
      <c r="I23" s="8">
        <f>E23-G23</f>
      </c>
      <c r="J23" s="4"/>
      <c r="K23" s="1">
        <v>10</v>
      </c>
      <c r="L23" s="1">
        <v>6</v>
      </c>
      <c r="M23" s="1">
        <v>5</v>
      </c>
      <c r="N23" s="1">
        <v>5</v>
      </c>
      <c r="O23" s="1">
        <v>7</v>
      </c>
      <c r="P23" s="1">
        <v>5</v>
      </c>
      <c r="Q23" s="1">
        <v>5</v>
      </c>
      <c r="R23" s="1">
        <v>5</v>
      </c>
      <c r="S23" s="1">
        <v>5</v>
      </c>
      <c r="T23" s="1">
        <v>5</v>
      </c>
      <c r="U23" s="1">
        <v>6</v>
      </c>
      <c r="V23" s="1">
        <v>6</v>
      </c>
      <c r="W23" s="1">
        <v>8</v>
      </c>
      <c r="X23" s="1">
        <v>7</v>
      </c>
      <c r="Y23" s="5">
        <v>9</v>
      </c>
      <c r="Z23" s="1">
        <v>6</v>
      </c>
      <c r="AA23" s="6"/>
      <c r="AB23" s="6"/>
    </row>
    <row customHeight="true" ht="19" r="24">
      <c r="A24" s="6"/>
      <c r="B24" s="2">
        <v>35</v>
      </c>
      <c r="C24" s="10" t="str">
        <v>Operation</v>
      </c>
      <c r="D24" s="11" t="str" xml:space="preserve">
        <v>Unclear profit margin and low moq stucture for adhoc job </v>
      </c>
      <c r="E24" s="7">
        <f>AVERAGE(K24,M24,O24,Q24,S24,U24,W24,Y24)</f>
      </c>
      <c r="F24" s="3">
        <f>E24/$E$40</f>
      </c>
      <c r="G24" s="12">
        <f>AVERAGE(L24,N24,P24,R24,T24,V24,X24,Z24)</f>
      </c>
      <c r="H24" s="3">
        <f>G24*F24</f>
      </c>
      <c r="I24" s="8">
        <f>E24-G24</f>
      </c>
      <c r="J24" s="4"/>
      <c r="K24" s="1">
        <v>9</v>
      </c>
      <c r="L24" s="1">
        <v>4</v>
      </c>
      <c r="M24" s="1">
        <v>8</v>
      </c>
      <c r="N24" s="1">
        <v>6</v>
      </c>
      <c r="O24" s="1">
        <v>7</v>
      </c>
      <c r="P24" s="1">
        <v>7</v>
      </c>
      <c r="Q24" s="1">
        <v>8</v>
      </c>
      <c r="R24" s="1">
        <v>6</v>
      </c>
      <c r="S24" s="1">
        <v>8</v>
      </c>
      <c r="T24" s="1">
        <v>8</v>
      </c>
      <c r="U24" s="1">
        <v>7</v>
      </c>
      <c r="V24" s="1">
        <v>7</v>
      </c>
      <c r="W24" s="1">
        <v>6</v>
      </c>
      <c r="X24" s="1">
        <v>6</v>
      </c>
      <c r="Y24" s="5">
        <v>6</v>
      </c>
      <c r="Z24" s="15">
        <v>5</v>
      </c>
      <c r="AA24" s="6"/>
      <c r="AB24" s="6"/>
    </row>
    <row r="25">
      <c r="A25" s="6"/>
      <c r="B25" s="2">
        <v>5</v>
      </c>
      <c r="C25" s="10" t="str">
        <v>Financial</v>
      </c>
      <c r="D25" s="9" t="str">
        <v>Inefficient process of claim</v>
      </c>
      <c r="E25" s="7">
        <f>AVERAGE(K25,M25,O25,Q25,S25,U25,W25,Y25)</f>
      </c>
      <c r="F25" s="3">
        <f>E25/$E$40</f>
      </c>
      <c r="G25" s="7">
        <f>AVERAGE(L25,N25,P25,R25,T25,V25,X25,Z25)</f>
      </c>
      <c r="H25" s="3">
        <f>G25*F25</f>
      </c>
      <c r="I25" s="8">
        <f>E25-G25</f>
      </c>
      <c r="J25" s="4"/>
      <c r="K25" s="1">
        <v>6</v>
      </c>
      <c r="L25" s="1">
        <v>10</v>
      </c>
      <c r="M25" s="1">
        <v>6</v>
      </c>
      <c r="N25" s="1">
        <v>5</v>
      </c>
      <c r="O25" s="1">
        <v>9</v>
      </c>
      <c r="P25" s="1">
        <v>8</v>
      </c>
      <c r="Q25" s="1">
        <v>10</v>
      </c>
      <c r="R25" s="1">
        <v>5</v>
      </c>
      <c r="S25" s="1">
        <v>9</v>
      </c>
      <c r="T25" s="1">
        <v>5</v>
      </c>
      <c r="U25" s="1">
        <v>9</v>
      </c>
      <c r="V25" s="1">
        <v>4</v>
      </c>
      <c r="W25" s="1">
        <v>4</v>
      </c>
      <c r="X25" s="1">
        <v>9</v>
      </c>
      <c r="Y25" s="5">
        <v>5</v>
      </c>
      <c r="Z25" s="1">
        <v>3</v>
      </c>
      <c r="AA25" s="6"/>
      <c r="AB25" s="6"/>
    </row>
    <row r="26">
      <c r="A26" s="6"/>
      <c r="B26" s="2">
        <v>13</v>
      </c>
      <c r="C26" s="10" t="str">
        <v>Management</v>
      </c>
      <c r="D26" s="9" t="str">
        <v>Weak business comunication of operation</v>
      </c>
      <c r="E26" s="7">
        <f>AVERAGE(K26,M26,O26,Q26,S26,U26,W26,Y26)</f>
      </c>
      <c r="F26" s="3">
        <f>E26/$E$40</f>
      </c>
      <c r="G26" s="12">
        <f>AVERAGE(L26,N26,P26,R26,T26,V26,X26,Z26)</f>
      </c>
      <c r="H26" s="3">
        <f>G26*F26</f>
      </c>
      <c r="I26" s="8">
        <f>E26-G26</f>
      </c>
      <c r="J26" s="4"/>
      <c r="K26" s="1">
        <v>9</v>
      </c>
      <c r="L26" s="1">
        <v>6</v>
      </c>
      <c r="M26" s="1">
        <v>6</v>
      </c>
      <c r="N26" s="1">
        <v>8</v>
      </c>
      <c r="O26" s="1">
        <v>8</v>
      </c>
      <c r="P26" s="1">
        <v>7</v>
      </c>
      <c r="Q26" s="1">
        <v>8</v>
      </c>
      <c r="R26" s="1">
        <v>6</v>
      </c>
      <c r="S26" s="1">
        <v>7</v>
      </c>
      <c r="T26" s="1">
        <v>5</v>
      </c>
      <c r="U26" s="1">
        <v>8</v>
      </c>
      <c r="V26" s="1">
        <v>7</v>
      </c>
      <c r="W26" s="1">
        <v>7</v>
      </c>
      <c r="X26" s="1">
        <v>6</v>
      </c>
      <c r="Y26" s="5">
        <v>8</v>
      </c>
      <c r="Z26" s="1">
        <v>7</v>
      </c>
      <c r="AA26" s="6"/>
      <c r="AB26" s="6"/>
    </row>
    <row customHeight="true" ht="19" r="27">
      <c r="A27" s="6"/>
      <c r="B27" s="2">
        <v>26</v>
      </c>
      <c r="C27" s="10" t="str">
        <v>Operation</v>
      </c>
      <c r="D27" s="11" t="str">
        <v>Catalogue for sustainable items</v>
      </c>
      <c r="E27" s="7">
        <f>AVERAGE(K27,M27,O27,Q27,S27,U27,W27,Y27)</f>
      </c>
      <c r="F27" s="3">
        <f>E27/$E$40</f>
      </c>
      <c r="G27" s="12">
        <f>AVERAGE(L27,N27,P27,R27,T27,V27,X27,Z27)</f>
      </c>
      <c r="H27" s="3">
        <f>G27*F27</f>
      </c>
      <c r="I27" s="8">
        <f>E27-G27</f>
      </c>
      <c r="J27" s="4"/>
      <c r="K27" s="1">
        <v>9</v>
      </c>
      <c r="L27" s="1">
        <v>9</v>
      </c>
      <c r="M27" s="1">
        <v>8</v>
      </c>
      <c r="N27" s="1">
        <v>7</v>
      </c>
      <c r="O27" s="1">
        <v>8</v>
      </c>
      <c r="P27" s="1">
        <v>5</v>
      </c>
      <c r="Q27" s="1">
        <v>8</v>
      </c>
      <c r="R27" s="1">
        <v>5</v>
      </c>
      <c r="S27" s="1">
        <v>6</v>
      </c>
      <c r="T27" s="1">
        <v>6</v>
      </c>
      <c r="U27" s="1">
        <v>8</v>
      </c>
      <c r="V27" s="1">
        <v>9</v>
      </c>
      <c r="W27" s="1">
        <v>9</v>
      </c>
      <c r="X27" s="1">
        <v>7</v>
      </c>
      <c r="Y27" s="5">
        <v>7</v>
      </c>
      <c r="Z27" s="1">
        <v>6</v>
      </c>
      <c r="AA27" s="6"/>
      <c r="AB27" s="6"/>
    </row>
    <row r="28">
      <c r="A28" s="6"/>
      <c r="B28" s="2">
        <v>32</v>
      </c>
      <c r="C28" s="10" t="str">
        <v>Operation</v>
      </c>
      <c r="D28" s="11" t="str">
        <v>Sustainable product is pricey</v>
      </c>
      <c r="E28" s="7">
        <f>AVERAGE(K28,M28,O28,Q28,S28,U28,W28,Y28)</f>
      </c>
      <c r="F28" s="3">
        <f>E28/$E$40</f>
      </c>
      <c r="G28" s="12">
        <f>AVERAGE(L28,N28,P28,R28,T28,V28,X28,Z28)</f>
      </c>
      <c r="H28" s="3">
        <f>G28*F28</f>
      </c>
      <c r="I28" s="8">
        <f>E28-G28</f>
      </c>
      <c r="J28" s="4"/>
      <c r="K28" s="1">
        <v>7</v>
      </c>
      <c r="L28" s="1">
        <v>3</v>
      </c>
      <c r="M28" s="1">
        <v>5</v>
      </c>
      <c r="N28" s="1">
        <v>3</v>
      </c>
      <c r="O28" s="1">
        <v>6</v>
      </c>
      <c r="P28" s="1">
        <v>4</v>
      </c>
      <c r="Q28" s="1">
        <v>5</v>
      </c>
      <c r="R28" s="1">
        <v>5</v>
      </c>
      <c r="S28" s="1">
        <v>2</v>
      </c>
      <c r="T28" s="1">
        <v>2</v>
      </c>
      <c r="U28" s="1">
        <v>3</v>
      </c>
      <c r="V28" s="1">
        <v>2</v>
      </c>
      <c r="W28" s="1">
        <v>6</v>
      </c>
      <c r="X28" s="1">
        <v>7</v>
      </c>
      <c r="Y28" s="5">
        <v>5</v>
      </c>
      <c r="Z28" s="1">
        <v>4</v>
      </c>
      <c r="AA28" s="6"/>
      <c r="AB28" s="6"/>
    </row>
    <row r="29">
      <c r="A29" s="6"/>
      <c r="B29" s="2">
        <v>14</v>
      </c>
      <c r="C29" s="10" t="str">
        <v>Management</v>
      </c>
      <c r="D29" s="9" t="str">
        <v>Management aware of SDG</v>
      </c>
      <c r="E29" s="7">
        <f>AVERAGE(K29,M29,O29,Q29,S29,U29,W29,Y29)</f>
      </c>
      <c r="F29" s="3">
        <f>E29/$E$40</f>
      </c>
      <c r="G29" s="12">
        <f>AVERAGE(L29,N29,P29,R29,T29,V29,X29,Z29)</f>
      </c>
      <c r="H29" s="3">
        <f>G29*F29</f>
      </c>
      <c r="I29" s="8">
        <f>E29-G29</f>
      </c>
      <c r="J29" s="4"/>
      <c r="K29" s="1">
        <v>9</v>
      </c>
      <c r="L29" s="1">
        <v>8</v>
      </c>
      <c r="M29" s="1">
        <v>5</v>
      </c>
      <c r="N29" s="1">
        <v>5</v>
      </c>
      <c r="O29" s="1">
        <v>5</v>
      </c>
      <c r="P29" s="1">
        <v>4</v>
      </c>
      <c r="Q29" s="1">
        <v>5</v>
      </c>
      <c r="R29" s="1">
        <v>5</v>
      </c>
      <c r="S29" s="1">
        <v>5</v>
      </c>
      <c r="T29" s="1">
        <v>3</v>
      </c>
      <c r="U29" s="1">
        <v>9</v>
      </c>
      <c r="V29" s="1">
        <v>5</v>
      </c>
      <c r="W29" s="1">
        <v>5</v>
      </c>
      <c r="X29" s="1">
        <v>7</v>
      </c>
      <c r="Y29" s="5">
        <v>8</v>
      </c>
      <c r="Z29" s="1">
        <v>6</v>
      </c>
      <c r="AA29" s="6"/>
      <c r="AB29" s="6"/>
    </row>
    <row customHeight="true" ht="19" r="30">
      <c r="A30" s="6"/>
      <c r="B30" s="2">
        <v>7</v>
      </c>
      <c r="C30" s="10" t="str">
        <v>Management</v>
      </c>
      <c r="D30" s="9" t="str">
        <v>Salary not relative to job scopes</v>
      </c>
      <c r="E30" s="7">
        <f>AVERAGE(K30,M30,O30,Q30,S30,U30,W30,Y30)</f>
      </c>
      <c r="F30" s="3">
        <f>E30/$E$40</f>
      </c>
      <c r="G30" s="7">
        <f>AVERAGE(L30,N30,P30,R30,T30,V30,X30,Z30)</f>
      </c>
      <c r="H30" s="3">
        <f>G30*F30</f>
      </c>
      <c r="I30" s="8">
        <f>E30-G30</f>
      </c>
      <c r="J30" s="4"/>
      <c r="K30" s="1">
        <v>10</v>
      </c>
      <c r="L30" s="1">
        <v>9</v>
      </c>
      <c r="M30" s="1">
        <v>10</v>
      </c>
      <c r="N30" s="1">
        <v>9</v>
      </c>
      <c r="O30" s="1">
        <v>10</v>
      </c>
      <c r="P30" s="1">
        <v>8</v>
      </c>
      <c r="Q30" s="1">
        <v>8</v>
      </c>
      <c r="R30" s="1">
        <v>5</v>
      </c>
      <c r="S30" s="1">
        <v>8</v>
      </c>
      <c r="T30" s="1">
        <v>8</v>
      </c>
      <c r="U30" s="1">
        <v>8</v>
      </c>
      <c r="V30" s="1">
        <v>8</v>
      </c>
      <c r="W30" s="1">
        <v>8</v>
      </c>
      <c r="X30" s="1">
        <v>8</v>
      </c>
      <c r="Y30" s="5">
        <v>8</v>
      </c>
      <c r="Z30" s="1">
        <v>8</v>
      </c>
      <c r="AA30" s="6"/>
      <c r="AB30" s="6"/>
    </row>
    <row r="31">
      <c r="A31" s="6"/>
      <c r="B31" s="2">
        <v>21</v>
      </c>
      <c r="C31" s="10" t="str">
        <v>Marketing</v>
      </c>
      <c r="D31" s="9" t="str">
        <v>No monthly marketing budget</v>
      </c>
      <c r="E31" s="7">
        <f>AVERAGE(K31,M31,O31,Q31,S31,U31,W31,Y31)</f>
      </c>
      <c r="F31" s="3">
        <f>E31/$E$40</f>
      </c>
      <c r="G31" s="12">
        <f>AVERAGE(L31,N31,P31,R31,T31,V31,X31,Z31)</f>
      </c>
      <c r="H31" s="3">
        <f>G31*F31</f>
      </c>
      <c r="I31" s="8">
        <f>E31-G31</f>
      </c>
      <c r="J31" s="4"/>
      <c r="K31" s="1">
        <v>9</v>
      </c>
      <c r="L31" s="1">
        <v>7</v>
      </c>
      <c r="M31" s="1">
        <v>8</v>
      </c>
      <c r="N31" s="1">
        <v>6</v>
      </c>
      <c r="O31" s="1">
        <v>9</v>
      </c>
      <c r="P31" s="1">
        <v>8</v>
      </c>
      <c r="Q31" s="1">
        <v>9</v>
      </c>
      <c r="R31" s="1">
        <v>5</v>
      </c>
      <c r="S31" s="1">
        <v>6</v>
      </c>
      <c r="T31" s="1">
        <v>5</v>
      </c>
      <c r="U31" s="1">
        <v>8</v>
      </c>
      <c r="V31" s="1">
        <v>9</v>
      </c>
      <c r="W31" s="1">
        <v>5</v>
      </c>
      <c r="X31" s="1">
        <v>8</v>
      </c>
      <c r="Y31" s="5">
        <v>7</v>
      </c>
      <c r="Z31" s="1">
        <v>6</v>
      </c>
      <c r="AA31" s="6"/>
      <c r="AB31" s="6"/>
    </row>
    <row customHeight="true" ht="19" r="32">
      <c r="A32" s="6"/>
      <c r="B32" s="2">
        <v>15</v>
      </c>
      <c r="C32" s="10" t="str">
        <v>Marketing</v>
      </c>
      <c r="D32" s="9" t="str">
        <v>Apply Green Washing as marketing campaign</v>
      </c>
      <c r="E32" s="7">
        <f>AVERAGE(K32,M32,O32,Q32,S32,U32,W32,Y32)</f>
      </c>
      <c r="F32" s="3">
        <f>E32/$E$40</f>
      </c>
      <c r="G32" s="12">
        <f>AVERAGE(L32,N32,P32,R32,T32,V32,X32,Z32)</f>
      </c>
      <c r="H32" s="3">
        <f>G32*F32</f>
      </c>
      <c r="I32" s="8">
        <f>E32-G32</f>
      </c>
      <c r="J32" s="4"/>
      <c r="K32" s="1">
        <v>8</v>
      </c>
      <c r="L32" s="1">
        <v>8</v>
      </c>
      <c r="M32" s="1">
        <v>8</v>
      </c>
      <c r="N32" s="1">
        <v>7</v>
      </c>
      <c r="O32" s="1">
        <v>5</v>
      </c>
      <c r="P32" s="1">
        <v>3</v>
      </c>
      <c r="Q32" s="1">
        <v>5</v>
      </c>
      <c r="R32" s="1">
        <v>5</v>
      </c>
      <c r="S32" s="1">
        <v>6</v>
      </c>
      <c r="T32" s="1">
        <v>6</v>
      </c>
      <c r="U32" s="1">
        <v>7</v>
      </c>
      <c r="V32" s="1">
        <v>5</v>
      </c>
      <c r="W32" s="1">
        <v>6</v>
      </c>
      <c r="X32" s="1">
        <v>8</v>
      </c>
      <c r="Y32" s="5">
        <v>8</v>
      </c>
      <c r="Z32" s="1">
        <v>6</v>
      </c>
      <c r="AA32" s="6"/>
      <c r="AB32" s="6"/>
    </row>
    <row r="33">
      <c r="A33" s="6"/>
      <c r="B33" s="2">
        <v>24</v>
      </c>
      <c r="C33" s="10" t="str">
        <v>Operation</v>
      </c>
      <c r="D33" s="11" t="str">
        <v>Identified 3 trading priorities/niche (apparels, bag, stationery) for sustainability</v>
      </c>
      <c r="E33" s="7">
        <f>AVERAGE(K33,M33,O33,Q33,S33,U33,W33,Y33)</f>
      </c>
      <c r="F33" s="3">
        <f>E33/$E$40</f>
      </c>
      <c r="G33" s="12">
        <f>AVERAGE(L33,N33,P33,R33,T33,V33,X33,Z33)</f>
      </c>
      <c r="H33" s="3">
        <f>G33*F33</f>
      </c>
      <c r="I33" s="8">
        <f>E33-G33</f>
      </c>
      <c r="J33" s="4"/>
      <c r="K33" s="1">
        <v>9</v>
      </c>
      <c r="L33" s="1">
        <v>9</v>
      </c>
      <c r="M33" s="1">
        <v>6</v>
      </c>
      <c r="N33" s="1">
        <v>5</v>
      </c>
      <c r="O33" s="1">
        <v>7</v>
      </c>
      <c r="P33" s="1">
        <v>7</v>
      </c>
      <c r="Q33" s="1">
        <v>5</v>
      </c>
      <c r="R33" s="1">
        <v>5</v>
      </c>
      <c r="S33" s="1">
        <v>6</v>
      </c>
      <c r="T33" s="1">
        <v>5</v>
      </c>
      <c r="U33" s="1">
        <v>8</v>
      </c>
      <c r="V33" s="1">
        <v>6</v>
      </c>
      <c r="W33" s="1">
        <v>9</v>
      </c>
      <c r="X33" s="1">
        <v>9</v>
      </c>
      <c r="Y33" s="5">
        <v>8</v>
      </c>
      <c r="Z33" s="1">
        <v>7</v>
      </c>
      <c r="AA33" s="6"/>
      <c r="AB33" s="6"/>
    </row>
    <row customHeight="true" ht="19" r="34">
      <c r="A34" s="6"/>
      <c r="B34" s="2">
        <v>28</v>
      </c>
      <c r="C34" s="10" t="str">
        <v>Operation</v>
      </c>
      <c r="D34" s="11" t="str">
        <v>No comprehensive SOP for Trading</v>
      </c>
      <c r="E34" s="7">
        <f>AVERAGE(K34,M34,O34,Q34,S34,U34,W34,Y34)</f>
      </c>
      <c r="F34" s="3">
        <f>E34/$E$40</f>
      </c>
      <c r="G34" s="12">
        <f>AVERAGE(L34,N34,P34,R34,T34,V34,X34,Z34)</f>
      </c>
      <c r="H34" s="3">
        <f>G34*F34</f>
      </c>
      <c r="I34" s="8">
        <f>E34-G34</f>
      </c>
      <c r="J34" s="4"/>
      <c r="K34" s="1">
        <v>10</v>
      </c>
      <c r="L34" s="1">
        <v>8</v>
      </c>
      <c r="M34" s="1">
        <v>8</v>
      </c>
      <c r="N34" s="1">
        <v>8</v>
      </c>
      <c r="O34" s="1">
        <v>8</v>
      </c>
      <c r="P34" s="1">
        <v>6</v>
      </c>
      <c r="Q34" s="1">
        <v>8</v>
      </c>
      <c r="R34" s="1">
        <v>6</v>
      </c>
      <c r="S34" s="1">
        <v>8</v>
      </c>
      <c r="T34" s="1">
        <v>8</v>
      </c>
      <c r="U34" s="1">
        <v>8</v>
      </c>
      <c r="V34" s="1">
        <v>9</v>
      </c>
      <c r="W34" s="1">
        <v>5</v>
      </c>
      <c r="X34" s="1">
        <v>6</v>
      </c>
      <c r="Y34" s="5">
        <v>6</v>
      </c>
      <c r="Z34" s="1">
        <v>5</v>
      </c>
      <c r="AA34" s="6"/>
      <c r="AB34" s="6"/>
    </row>
    <row customHeight="true" ht="19" r="35">
      <c r="A35" s="6"/>
      <c r="B35" s="2">
        <v>6</v>
      </c>
      <c r="C35" s="10" t="str">
        <v>Financial</v>
      </c>
      <c r="D35" s="9" t="str">
        <v>Financial efficiency (COGS tracking) concern in sales commision</v>
      </c>
      <c r="E35" s="7">
        <f>AVERAGE(K35,M35,O35,Q35,S35,U35,W35,Y35)</f>
      </c>
      <c r="F35" s="3">
        <f>E35/$E$40</f>
      </c>
      <c r="G35" s="7">
        <f>AVERAGE(L35,N35,P35,R35,T35,V35,X35,Z35)</f>
      </c>
      <c r="H35" s="3">
        <f>G35*F35</f>
      </c>
      <c r="I35" s="8">
        <f>E35-G35</f>
      </c>
      <c r="J35" s="4"/>
      <c r="K35" s="1">
        <v>10</v>
      </c>
      <c r="L35" s="1">
        <v>10</v>
      </c>
      <c r="M35" s="1">
        <v>7</v>
      </c>
      <c r="N35" s="1">
        <v>6</v>
      </c>
      <c r="O35" s="1">
        <v>8</v>
      </c>
      <c r="P35" s="1">
        <v>7</v>
      </c>
      <c r="Q35" s="1">
        <v>9</v>
      </c>
      <c r="R35" s="1">
        <v>5</v>
      </c>
      <c r="S35" s="1">
        <v>8</v>
      </c>
      <c r="T35" s="1">
        <v>8</v>
      </c>
      <c r="U35" s="1">
        <v>9</v>
      </c>
      <c r="V35" s="1">
        <v>9</v>
      </c>
      <c r="W35" s="1">
        <v>6</v>
      </c>
      <c r="X35" s="1">
        <v>8</v>
      </c>
      <c r="Y35" s="5">
        <v>8</v>
      </c>
      <c r="Z35" s="1">
        <v>8</v>
      </c>
      <c r="AA35" s="6"/>
      <c r="AB35" s="6"/>
    </row>
    <row customHeight="true" ht="19" r="36">
      <c r="A36" s="6"/>
      <c r="B36" s="2">
        <v>22</v>
      </c>
      <c r="C36" s="10" t="str">
        <v>Marketing</v>
      </c>
      <c r="D36" s="9" t="str">
        <v>No marketing collaterals to reach out (Website, LinkedIn, Catalogue)</v>
      </c>
      <c r="E36" s="7">
        <f>AVERAGE(K36,M36,O36,Q36,S36,U36,W36,Y36)</f>
      </c>
      <c r="F36" s="3">
        <f>E36/$E$40</f>
      </c>
      <c r="G36" s="12">
        <f>AVERAGE(L36,N36,P36,R36,T36,V36,X36,Z36)</f>
      </c>
      <c r="H36" s="3">
        <f>G36*F36</f>
      </c>
      <c r="I36" s="8">
        <f>E36-G36</f>
      </c>
      <c r="J36" s="4"/>
      <c r="K36" s="1">
        <v>8</v>
      </c>
      <c r="L36" s="1">
        <v>7</v>
      </c>
      <c r="M36" s="1">
        <v>10</v>
      </c>
      <c r="N36" s="1">
        <v>10</v>
      </c>
      <c r="O36" s="1">
        <v>8</v>
      </c>
      <c r="P36" s="1">
        <v>6</v>
      </c>
      <c r="Q36" s="1">
        <v>8</v>
      </c>
      <c r="R36" s="1">
        <v>5</v>
      </c>
      <c r="S36" s="1">
        <v>6</v>
      </c>
      <c r="T36" s="1">
        <v>8</v>
      </c>
      <c r="U36" s="1">
        <v>6</v>
      </c>
      <c r="V36" s="1">
        <v>7</v>
      </c>
      <c r="W36" s="1">
        <v>7</v>
      </c>
      <c r="X36" s="1">
        <v>7</v>
      </c>
      <c r="Y36" s="5">
        <v>6</v>
      </c>
      <c r="Z36" s="1">
        <v>5</v>
      </c>
      <c r="AA36" s="6"/>
      <c r="AB36" s="6"/>
    </row>
    <row customHeight="true" ht="19" r="37">
      <c r="A37" s="6"/>
      <c r="B37" s="2">
        <v>31</v>
      </c>
      <c r="C37" s="10" t="str">
        <v>Operation</v>
      </c>
      <c r="D37" s="11" t="str">
        <v>No updated delivery status</v>
      </c>
      <c r="E37" s="7">
        <f>AVERAGE(K37,M37,O37,Q37,S37,U37,W37,Y37)</f>
      </c>
      <c r="F37" s="3">
        <f>E37/$E$40</f>
      </c>
      <c r="G37" s="12">
        <f>AVERAGE(L37,N37,P37,R37,T37,V37,X37,Z37)</f>
      </c>
      <c r="H37" s="3">
        <f>G37*F37</f>
      </c>
      <c r="I37" s="8">
        <f>E37-G37</f>
      </c>
      <c r="J37" s="4"/>
      <c r="K37" s="1">
        <v>9</v>
      </c>
      <c r="L37" s="1">
        <v>7</v>
      </c>
      <c r="M37" s="1">
        <v>6</v>
      </c>
      <c r="N37" s="1">
        <v>6</v>
      </c>
      <c r="O37" s="1">
        <v>6</v>
      </c>
      <c r="P37" s="1">
        <v>5</v>
      </c>
      <c r="Q37" s="1">
        <v>8</v>
      </c>
      <c r="R37" s="1">
        <v>6</v>
      </c>
      <c r="S37" s="1">
        <v>8</v>
      </c>
      <c r="T37" s="1">
        <v>8</v>
      </c>
      <c r="U37" s="1">
        <v>7</v>
      </c>
      <c r="V37" s="1">
        <v>9</v>
      </c>
      <c r="W37" s="1">
        <v>7</v>
      </c>
      <c r="X37" s="1">
        <v>7</v>
      </c>
      <c r="Y37" s="5">
        <v>8</v>
      </c>
      <c r="Z37" s="1">
        <v>7</v>
      </c>
      <c r="AA37" s="6"/>
      <c r="AB37" s="6"/>
    </row>
    <row customHeight="true" ht="19" r="38">
      <c r="A38" s="6"/>
      <c r="B38" s="2">
        <v>29</v>
      </c>
      <c r="C38" s="10" t="str">
        <v>Operation</v>
      </c>
      <c r="D38" s="11" t="str">
        <v>No QA/QC system (Focus on Project manager personnel)</v>
      </c>
      <c r="E38" s="7">
        <f>AVERAGE(K38,M38,O38,Q38,S38,U38,W38,Y38)</f>
      </c>
      <c r="F38" s="3">
        <f>E38/$E$40</f>
      </c>
      <c r="G38" s="12">
        <f>AVERAGE(L38,N38,P38,R38,T38,V38,X38,Z38)</f>
      </c>
      <c r="H38" s="3">
        <f>G38*F38</f>
      </c>
      <c r="I38" s="8">
        <f>E38-G38</f>
      </c>
      <c r="J38" s="4"/>
      <c r="K38" s="1">
        <v>9</v>
      </c>
      <c r="L38" s="1">
        <v>8</v>
      </c>
      <c r="M38" s="1">
        <v>7</v>
      </c>
      <c r="N38" s="1">
        <v>7</v>
      </c>
      <c r="O38" s="1">
        <v>7</v>
      </c>
      <c r="P38" s="1">
        <v>6</v>
      </c>
      <c r="Q38" s="1">
        <v>7</v>
      </c>
      <c r="R38" s="1">
        <v>6</v>
      </c>
      <c r="S38" s="1">
        <v>2</v>
      </c>
      <c r="T38" s="1">
        <v>8</v>
      </c>
      <c r="U38" s="1">
        <v>3</v>
      </c>
      <c r="V38" s="1">
        <v>5</v>
      </c>
      <c r="W38" s="1">
        <v>8</v>
      </c>
      <c r="X38" s="1">
        <v>6</v>
      </c>
      <c r="Y38" s="5">
        <v>7</v>
      </c>
      <c r="Z38" s="1">
        <v>5</v>
      </c>
      <c r="AA38" s="6"/>
      <c r="AB38" s="6"/>
    </row>
    <row r="39">
      <c r="A39" s="6"/>
      <c r="B39" s="2">
        <v>23</v>
      </c>
      <c r="C39" s="10" t="str">
        <v>Operation</v>
      </c>
      <c r="D39" s="11" t="str">
        <v>Not enough warehouse capacity</v>
      </c>
      <c r="E39" s="7">
        <f>AVERAGE(K39,M39,O39,Q39,S39,U39,W39,Y39)</f>
      </c>
      <c r="F39" s="3">
        <f>E39/$E$40</f>
      </c>
      <c r="G39" s="12">
        <f>AVERAGE(L39,N39,P39,R39,T39,V39,X39,Z39)</f>
      </c>
      <c r="H39" s="3">
        <f>G39*F39</f>
      </c>
      <c r="I39" s="8">
        <f>E39-G39</f>
      </c>
      <c r="J39" s="4"/>
      <c r="K39" s="1">
        <v>3</v>
      </c>
      <c r="L39" s="1">
        <v>1</v>
      </c>
      <c r="M39" s="1">
        <v>7</v>
      </c>
      <c r="N39" s="1">
        <v>6</v>
      </c>
      <c r="O39" s="1">
        <v>4</v>
      </c>
      <c r="P39" s="1">
        <v>3</v>
      </c>
      <c r="Q39" s="1">
        <v>3</v>
      </c>
      <c r="R39" s="1">
        <v>3</v>
      </c>
      <c r="S39" s="1">
        <v>2</v>
      </c>
      <c r="T39" s="1">
        <v>8</v>
      </c>
      <c r="U39" s="1">
        <v>1</v>
      </c>
      <c r="V39" s="1">
        <v>4</v>
      </c>
      <c r="W39" s="1">
        <v>7</v>
      </c>
      <c r="X39" s="1">
        <v>5</v>
      </c>
      <c r="Y39" s="5">
        <v>4</v>
      </c>
      <c r="Z39" s="1">
        <v>4</v>
      </c>
      <c r="AA39" s="6"/>
      <c r="AB39" s="6"/>
    </row>
    <row customHeight="true" ht="19" r="40">
      <c r="A40" s="6"/>
      <c r="B40" s="20"/>
      <c r="C40" s="6"/>
      <c r="D40" s="16" t="str">
        <v>Total Score of [a]</v>
      </c>
      <c r="E40" s="18">
        <f>SUM(E5:E39)</f>
      </c>
      <c r="F40" s="18">
        <f>SUM(F5:F39)</f>
      </c>
      <c r="G40" s="18">
        <f>SUM(G5:G39)</f>
      </c>
      <c r="H40" s="17"/>
      <c r="I40" s="21"/>
      <c r="J40" s="4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19"/>
      <c r="AA40" s="6"/>
      <c r="AB40" s="6"/>
    </row>
  </sheetData>
  <mergeCells>
    <mergeCell ref="B2:I2"/>
    <mergeCell ref="K3:L3"/>
    <mergeCell ref="M3:N3"/>
    <mergeCell ref="O3:P3"/>
    <mergeCell ref="Q3:R3"/>
    <mergeCell ref="S3:T3"/>
    <mergeCell ref="U3:V3"/>
    <mergeCell ref="W3:X3"/>
    <mergeCell ref="Y3:Z3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20"/>
    <col collapsed="false" customWidth="true" hidden="false" max="3" min="3" style="0" width="0"/>
    <col collapsed="false" customWidth="true" hidden="true" max="4" min="4" style="0" width="0"/>
    <col collapsed="false" customWidth="true" hidden="true" max="5" min="5" style="0" width="0"/>
    <col collapsed="false" customWidth="true" hidden="true" max="6" min="6" style="0" width="0"/>
    <col collapsed="false" customWidth="true" hidden="true" max="7" min="7" style="0" width="0"/>
    <col collapsed="false" customWidth="true" hidden="false" max="8" min="8" style="0" width="45"/>
    <col collapsed="false" customWidth="true" hidden="false" max="9" min="9" style="0" width="9"/>
    <col collapsed="false" customWidth="true" hidden="false" max="10" min="10" style="0" width="79"/>
    <col collapsed="false" customWidth="true" hidden="false" max="11" min="11" style="0" width="0"/>
    <col collapsed="false" customWidth="true" hidden="false" max="12" min="12" style="0" width="24"/>
    <col collapsed="false" customWidth="true" hidden="false" max="13" min="13" style="0" width="24"/>
    <col collapsed="false" customWidth="true" hidden="false" max="14" min="14" style="0" width="0"/>
    <col collapsed="false" customWidth="true" hidden="false" max="15" min="15" style="0" width="0"/>
    <col collapsed="false" customWidth="true" hidden="false" max="16" min="16" style="0" width="20"/>
    <col collapsed="false" customWidth="true" hidden="false" max="17" min="17" style="0" width="20"/>
    <col collapsed="false" customWidth="true" hidden="false" max="18" min="18" style="0" width="34"/>
    <col collapsed="false" customWidth="true" hidden="false" max="19" min="19" style="0" width="48"/>
    <col collapsed="false" customWidth="true" hidden="false" max="20" min="20" style="0" width="33"/>
    <col collapsed="false" customWidth="true" hidden="false" max="21" min="21" style="0" width="13"/>
    <col collapsed="false" customWidth="true" hidden="false" max="22" min="22" style="0" width="13"/>
    <col collapsed="false" customWidth="true" hidden="false" max="23" min="23" style="0" width="13"/>
    <col collapsed="false" customWidth="true" hidden="false" max="24" min="24" style="0" width="13"/>
  </cols>
  <sheetData>
    <row customHeight="true" ht="19" r="1">
      <c r="A1" s="80" t="str" xml:space="preserve">
        <v> </v>
      </c>
      <c r="B1" s="93"/>
      <c r="C1" s="96"/>
      <c r="D1" s="80"/>
      <c r="E1" s="94"/>
      <c r="F1" s="94"/>
      <c r="G1" s="71"/>
      <c r="H1" s="73"/>
      <c r="I1" s="95"/>
      <c r="J1" s="95"/>
      <c r="O1" s="83"/>
      <c r="P1" s="45"/>
      <c r="Q1" s="45"/>
      <c r="R1" s="80"/>
      <c r="S1" s="80"/>
      <c r="T1" s="80"/>
      <c r="U1" s="80"/>
      <c r="V1" s="80"/>
      <c r="W1" s="80"/>
      <c r="X1" s="80"/>
    </row>
    <row customHeight="true" ht="19" r="2">
      <c r="A2" s="80"/>
      <c r="B2" s="93" t="str">
        <v>Objective</v>
      </c>
      <c r="C2" s="96"/>
      <c r="D2" s="80"/>
      <c r="E2" s="94"/>
      <c r="F2" s="94"/>
      <c r="G2" s="71"/>
      <c r="H2" s="73"/>
      <c r="I2" s="95"/>
      <c r="J2" s="95"/>
      <c r="K2" s="97"/>
      <c r="L2" s="82"/>
      <c r="M2" s="82"/>
      <c r="N2" s="85"/>
      <c r="O2" s="83"/>
      <c r="P2" s="45"/>
      <c r="Q2" s="45"/>
      <c r="R2" s="80"/>
      <c r="S2" s="80"/>
      <c r="T2" s="80"/>
      <c r="U2" s="80"/>
      <c r="V2" s="80"/>
      <c r="W2" s="80"/>
      <c r="X2" s="80"/>
    </row>
    <row r="3">
      <c r="A3" s="80"/>
      <c r="B3" s="84" t="str" xml:space="preserve">
        <v>Strategic Objective : </v>
      </c>
      <c r="C3" s="50" t="str">
        <v>Growth and Efficiency Driven Team</v>
      </c>
      <c r="D3" s="81"/>
      <c r="E3" s="81"/>
      <c r="F3" s="71"/>
      <c r="G3" s="81"/>
      <c r="H3" s="73"/>
      <c r="I3" s="50"/>
      <c r="J3" s="50"/>
      <c r="L3" s="82"/>
      <c r="M3" s="82"/>
      <c r="N3" s="85"/>
      <c r="O3" s="83"/>
      <c r="P3" s="45"/>
      <c r="Q3" s="45"/>
      <c r="R3" s="81"/>
      <c r="S3" s="81"/>
      <c r="T3" s="74"/>
      <c r="U3" s="74"/>
      <c r="V3" s="74"/>
      <c r="W3" s="74"/>
      <c r="X3" s="74"/>
    </row>
    <row customHeight="true" ht="19" r="4">
      <c r="A4" s="51"/>
      <c r="B4" s="75" t="str" xml:space="preserve">
        <v>Revenue : </v>
      </c>
      <c r="C4" s="51" t="str">
        <v>Trading RM3.1 Million and Creative RM1 Million = RM4,100,000.00 (12% Increase from 2024)</v>
      </c>
      <c r="D4" s="51"/>
      <c r="E4" s="45"/>
      <c r="F4" s="45"/>
      <c r="G4" s="71"/>
      <c r="H4" s="73"/>
      <c r="I4" s="74"/>
      <c r="J4" s="74"/>
      <c r="K4" s="69"/>
      <c r="L4" s="72"/>
      <c r="M4" s="72"/>
      <c r="N4" s="76"/>
      <c r="O4" s="70"/>
      <c r="P4" s="45"/>
      <c r="Q4" s="45"/>
      <c r="R4" s="51"/>
      <c r="S4" s="51"/>
      <c r="T4" s="51"/>
      <c r="U4" s="51"/>
      <c r="V4" s="51"/>
      <c r="W4" s="51"/>
      <c r="X4" s="51"/>
    </row>
    <row customHeight="true" ht="22" r="5">
      <c r="A5" s="51"/>
      <c r="B5" s="126"/>
      <c r="C5" s="130"/>
      <c r="D5" s="126"/>
      <c r="E5" s="126"/>
      <c r="F5" s="133"/>
      <c r="G5" s="126"/>
      <c r="H5" s="127"/>
      <c r="I5" s="130"/>
      <c r="J5" s="130"/>
      <c r="K5" s="131"/>
      <c r="L5" s="72"/>
      <c r="M5" s="72"/>
      <c r="N5" s="126"/>
      <c r="O5" s="132"/>
      <c r="P5" s="128"/>
      <c r="Q5" s="128"/>
      <c r="R5" s="126"/>
      <c r="S5" s="126"/>
      <c r="T5" s="129"/>
      <c r="U5" s="51"/>
      <c r="V5" s="51"/>
      <c r="W5" s="51"/>
      <c r="X5" s="51"/>
    </row>
    <row customHeight="true" ht="22" r="6">
      <c r="A6" s="51"/>
      <c r="B6" s="84" t="s">
        <v>2</v>
      </c>
      <c r="C6" s="130"/>
      <c r="D6" s="126"/>
      <c r="E6" s="126"/>
      <c r="F6" s="133"/>
      <c r="G6" s="126"/>
      <c r="H6" s="127"/>
      <c r="I6" s="130"/>
      <c r="J6" s="130"/>
      <c r="K6" s="131"/>
      <c r="L6" s="72"/>
      <c r="M6" s="72"/>
      <c r="N6" s="81"/>
      <c r="O6" s="132"/>
      <c r="P6" s="128"/>
      <c r="Q6" s="128"/>
      <c r="R6" s="126"/>
      <c r="S6" s="126"/>
      <c r="T6" s="129"/>
      <c r="U6" s="51"/>
      <c r="V6" s="51"/>
      <c r="W6" s="51"/>
      <c r="X6" s="51"/>
    </row>
    <row customHeight="true" ht="19" r="7">
      <c r="A7" s="45"/>
      <c r="B7" s="122" t="str">
        <v>Objective No.</v>
      </c>
      <c r="C7" s="122" t="str">
        <v>Objectives</v>
      </c>
      <c r="D7" s="122" t="str">
        <v>Monthly Objectives</v>
      </c>
      <c r="E7" s="125" t="str">
        <v>Month</v>
      </c>
      <c r="F7" s="125" t="str">
        <v>Tactical Action
(Monthly)</v>
      </c>
      <c r="G7" s="122" t="str">
        <v>Week</v>
      </c>
      <c r="H7" s="122" t="str">
        <v>Key Results</v>
      </c>
      <c r="I7" s="122" t="str">
        <v>ID</v>
      </c>
      <c r="J7" s="122" t="str">
        <v>Initiative</v>
      </c>
      <c r="K7" s="123" t="str">
        <v>Department</v>
      </c>
      <c r="L7" s="123" t="str">
        <v>Starting Date</v>
      </c>
      <c r="M7" s="123" t="str">
        <v>Targeted Completion Date</v>
      </c>
      <c r="N7" s="122" t="str" xml:space="preserve">
        <v>Non-financial Resources </v>
      </c>
      <c r="O7" s="124" t="str" xml:space="preserve">
        <v>Financial Resources </v>
      </c>
      <c r="P7" s="122" t="str">
        <v>Person In Charge</v>
      </c>
      <c r="Q7" s="122" t="str">
        <v>Person Accountable</v>
      </c>
      <c r="R7" s="122" t="str">
        <v>Status</v>
      </c>
      <c r="S7" s="122" t="str">
        <v>Remarks</v>
      </c>
    </row>
    <row customHeight="true" ht="19" r="8">
      <c r="A8" s="51"/>
      <c r="B8" s="54">
        <v>1</v>
      </c>
      <c r="C8" s="40" t="str">
        <v>Expand to events</v>
      </c>
      <c r="D8" s="46"/>
      <c r="E8" s="49"/>
      <c r="F8" s="49"/>
      <c r="G8" s="41"/>
      <c r="H8" s="47" t="str">
        <v>KR1.1: Submit 7 event proposals by Q4 2025</v>
      </c>
      <c r="I8" s="52">
        <v>1</v>
      </c>
      <c r="J8" s="55" t="str">
        <v>Identify 15 clients to promote event</v>
      </c>
      <c r="K8" s="106" t="str">
        <v>Operations</v>
      </c>
      <c r="L8" s="48">
        <v>45658</v>
      </c>
      <c r="M8" s="48">
        <v>45716</v>
      </c>
      <c r="N8" s="49"/>
      <c r="O8" s="43"/>
      <c r="P8" s="49" t="str">
        <v>Azlan</v>
      </c>
      <c r="Q8" s="49" t="str">
        <v>Khairul</v>
      </c>
      <c r="R8" s="56" t="str">
        <v>Pending</v>
      </c>
      <c r="S8" s="44"/>
      <c r="T8" s="50"/>
      <c r="U8" s="53"/>
      <c r="V8" s="51"/>
      <c r="W8" s="45"/>
      <c r="X8" s="51"/>
    </row>
    <row customHeight="true" ht="19" r="9">
      <c r="A9" s="51"/>
      <c r="B9" s="54"/>
      <c r="C9" s="40"/>
      <c r="D9" s="46"/>
      <c r="E9" s="49"/>
      <c r="F9" s="49"/>
      <c r="G9" s="41"/>
      <c r="H9" s="47"/>
      <c r="I9" s="52">
        <v>2</v>
      </c>
      <c r="J9" s="55" t="str">
        <v>Submit 7 event proposals and set discussions</v>
      </c>
      <c r="K9" s="106" t="str">
        <v>Operations</v>
      </c>
      <c r="L9" s="48">
        <v>45658</v>
      </c>
      <c r="M9" s="48">
        <v>45808</v>
      </c>
      <c r="N9" s="49" t="str">
        <v>Meetings</v>
      </c>
      <c r="O9" s="43">
        <f>200*7</f>
      </c>
      <c r="P9" s="49" t="str">
        <v>Azlan</v>
      </c>
      <c r="Q9" s="49" t="str">
        <v>Khairul</v>
      </c>
      <c r="R9" s="56" t="str">
        <v>Pending</v>
      </c>
      <c r="S9" s="44"/>
      <c r="T9" s="50"/>
      <c r="U9" s="53"/>
      <c r="V9" s="51"/>
      <c r="W9" s="45"/>
      <c r="X9" s="51"/>
    </row>
    <row customHeight="true" ht="19" r="10">
      <c r="A10" s="51"/>
      <c r="B10" s="54"/>
      <c r="C10" s="40"/>
      <c r="D10" s="46"/>
      <c r="E10" s="49"/>
      <c r="F10" s="49"/>
      <c r="G10" s="41"/>
      <c r="H10" s="47"/>
      <c r="I10" s="89">
        <v>3</v>
      </c>
      <c r="J10" s="46" t="str">
        <v>Follow-up with potential clients for events</v>
      </c>
      <c r="K10" s="106" t="str">
        <v>Operations</v>
      </c>
      <c r="L10" s="48">
        <v>45658</v>
      </c>
      <c r="M10" s="48">
        <v>45808</v>
      </c>
      <c r="N10" s="49"/>
      <c r="O10" s="43"/>
      <c r="P10" s="49" t="str">
        <v>Khairul</v>
      </c>
      <c r="Q10" s="49" t="str">
        <v>Khairul</v>
      </c>
      <c r="R10" s="56" t="str">
        <v>Pending</v>
      </c>
      <c r="S10" s="44"/>
      <c r="T10" s="50"/>
      <c r="U10" s="53"/>
      <c r="V10" s="51"/>
      <c r="W10" s="45"/>
      <c r="X10" s="51"/>
    </row>
    <row customHeight="true" ht="19" r="11">
      <c r="A11" s="51"/>
      <c r="B11" s="54"/>
      <c r="C11" s="40"/>
      <c r="D11" s="46"/>
      <c r="E11" s="49"/>
      <c r="F11" s="49"/>
      <c r="G11" s="41"/>
      <c r="H11" s="47"/>
      <c r="I11" s="52">
        <v>4</v>
      </c>
      <c r="J11" s="55" t="str">
        <v>Implement a CRM system to track proposal submissions and follow-ups</v>
      </c>
      <c r="K11" s="106" t="str">
        <v>Operations</v>
      </c>
      <c r="L11" s="48">
        <v>45658</v>
      </c>
      <c r="M11" s="48">
        <v>45808</v>
      </c>
      <c r="N11" s="49" t="str">
        <v>Software - Pipedrive</v>
      </c>
      <c r="O11" s="43">
        <f>150*12</f>
      </c>
      <c r="P11" s="49" t="str">
        <v>Khairul</v>
      </c>
      <c r="Q11" s="49" t="str">
        <v>Khairul</v>
      </c>
      <c r="R11" s="56" t="str">
        <v>Pending</v>
      </c>
      <c r="S11" s="44"/>
      <c r="T11" s="50"/>
      <c r="U11" s="53"/>
      <c r="V11" s="51"/>
      <c r="W11" s="45"/>
      <c r="X11" s="51"/>
    </row>
    <row customHeight="true" ht="19" r="12">
      <c r="A12" s="51"/>
      <c r="B12" s="54"/>
      <c r="C12" s="40"/>
      <c r="D12" s="46"/>
      <c r="E12" s="49"/>
      <c r="F12" s="49"/>
      <c r="G12" s="41"/>
      <c r="H12" s="47" t="str">
        <v>KR1.2: Develop 3 new partnerships by Q4 2025</v>
      </c>
      <c r="I12" s="52">
        <v>5</v>
      </c>
      <c r="J12" s="55" t="str">
        <v>Conduct discussion on SUKMA 2026 opportunities with current partner (Bisabi Sdn Bhd)</v>
      </c>
      <c r="K12" s="42" t="str">
        <v>Business Dev</v>
      </c>
      <c r="L12" s="48">
        <v>45658</v>
      </c>
      <c r="M12" s="48">
        <v>45703</v>
      </c>
      <c r="N12" s="49"/>
      <c r="O12" s="43"/>
      <c r="P12" s="42" t="str">
        <v>Khairul</v>
      </c>
      <c r="Q12" s="49" t="str">
        <v>Khairul</v>
      </c>
      <c r="R12" s="56" t="str">
        <v>Pending</v>
      </c>
      <c r="S12" s="44"/>
      <c r="T12" s="50"/>
      <c r="U12" s="53"/>
      <c r="V12" s="51"/>
      <c r="W12" s="45"/>
      <c r="X12" s="51"/>
    </row>
    <row customHeight="true" ht="19" r="13">
      <c r="A13" s="51"/>
      <c r="B13" s="54"/>
      <c r="C13" s="40"/>
      <c r="D13" s="46"/>
      <c r="E13" s="49"/>
      <c r="F13" s="49"/>
      <c r="G13" s="41"/>
      <c r="H13" s="47"/>
      <c r="I13" s="52">
        <v>6</v>
      </c>
      <c r="J13" s="55" t="str">
        <v>Source 2 event organisers (not logistics)</v>
      </c>
      <c r="K13" s="42" t="str">
        <v>Business Dev</v>
      </c>
      <c r="L13" s="48">
        <v>45658</v>
      </c>
      <c r="M13" s="48">
        <v>45747</v>
      </c>
      <c r="N13" s="49"/>
      <c r="O13" s="43"/>
      <c r="P13" s="49" t="str">
        <v>Azlan</v>
      </c>
      <c r="Q13" s="49" t="str">
        <v>Khairul</v>
      </c>
      <c r="R13" s="56" t="str">
        <v>Pending</v>
      </c>
      <c r="S13" s="44"/>
      <c r="T13" s="50"/>
      <c r="U13" s="53"/>
      <c r="V13" s="51"/>
      <c r="W13" s="45"/>
      <c r="X13" s="51"/>
    </row>
    <row customHeight="true" ht="19" r="14">
      <c r="A14" s="51"/>
      <c r="B14" s="54"/>
      <c r="C14" s="40"/>
      <c r="D14" s="46"/>
      <c r="E14" s="49"/>
      <c r="F14" s="49"/>
      <c r="G14" s="41"/>
      <c r="H14" s="47"/>
      <c r="I14" s="89">
        <v>7</v>
      </c>
      <c r="J14" s="55" t="str">
        <v>Set meeting with 2 event organisers</v>
      </c>
      <c r="K14" s="42" t="str">
        <v>Business Dev</v>
      </c>
      <c r="L14" s="48">
        <v>45658</v>
      </c>
      <c r="M14" s="48">
        <v>45747</v>
      </c>
      <c r="N14" s="49"/>
      <c r="O14" s="43"/>
      <c r="P14" s="49" t="str">
        <v>Azlan</v>
      </c>
      <c r="Q14" s="49" t="str">
        <v>Khairul</v>
      </c>
      <c r="R14" s="56" t="str">
        <v>Pending</v>
      </c>
      <c r="S14" s="44"/>
      <c r="T14" s="50"/>
      <c r="U14" s="53"/>
      <c r="V14" s="51"/>
      <c r="W14" s="45"/>
      <c r="X14" s="51"/>
    </row>
    <row customHeight="true" ht="19" r="15">
      <c r="A15" s="51"/>
      <c r="B15" s="54"/>
      <c r="C15" s="40"/>
      <c r="D15" s="46"/>
      <c r="E15" s="49"/>
      <c r="F15" s="49"/>
      <c r="G15" s="41"/>
      <c r="H15" s="47"/>
      <c r="I15" s="52">
        <v>8</v>
      </c>
      <c r="J15" s="46" t="str">
        <v>Obtain pricing for 2 other event logistic companies</v>
      </c>
      <c r="K15" s="42" t="str">
        <v>Business Dev</v>
      </c>
      <c r="L15" s="48">
        <v>45809</v>
      </c>
      <c r="M15" s="48">
        <v>46022</v>
      </c>
      <c r="N15" s="49"/>
      <c r="O15" s="43"/>
      <c r="P15" s="49" t="str">
        <v>Azlan</v>
      </c>
      <c r="Q15" s="49" t="str">
        <v>Khairul</v>
      </c>
      <c r="R15" s="56" t="str">
        <v>Pending</v>
      </c>
      <c r="S15" s="44"/>
      <c r="T15" s="50"/>
      <c r="U15" s="53"/>
      <c r="V15" s="51"/>
      <c r="W15" s="45"/>
      <c r="X15" s="51"/>
    </row>
    <row r="16">
      <c r="A16" s="51"/>
      <c r="B16" s="54"/>
      <c r="C16" s="40"/>
      <c r="D16" s="46"/>
      <c r="E16" s="49"/>
      <c r="F16" s="49"/>
      <c r="G16" s="41"/>
      <c r="H16" s="47"/>
      <c r="I16" s="52">
        <v>9</v>
      </c>
      <c r="J16" s="55" t="str">
        <v>Secure 2 reliable event PIC/Account manager (freelance/contract)</v>
      </c>
      <c r="K16" s="42" t="str">
        <v>Business Dev</v>
      </c>
      <c r="L16" s="48">
        <v>45658</v>
      </c>
      <c r="M16" s="48">
        <v>45838</v>
      </c>
      <c r="N16" s="49" t="str">
        <v>Event manager (COGS)</v>
      </c>
      <c r="O16" s="43">
        <f>15000*4</f>
      </c>
      <c r="P16" s="49" t="str">
        <v>Khairul</v>
      </c>
      <c r="Q16" s="49" t="str">
        <v>Khairul</v>
      </c>
      <c r="R16" s="56" t="str">
        <v>Pending</v>
      </c>
      <c r="S16" s="146" t="str">
        <v>Consider to include in COGS for events - find English PIC for Taqi</v>
      </c>
      <c r="T16" s="50"/>
      <c r="U16" s="53"/>
      <c r="V16" s="51"/>
      <c r="W16" s="45"/>
      <c r="X16" s="51"/>
    </row>
    <row customHeight="true" ht="19" r="17">
      <c r="A17" s="51"/>
      <c r="B17" s="54"/>
      <c r="C17" s="40"/>
      <c r="D17" s="46"/>
      <c r="E17" s="49"/>
      <c r="F17" s="49"/>
      <c r="G17" s="41"/>
      <c r="H17" s="47"/>
      <c r="I17" s="52">
        <v>10</v>
      </c>
      <c r="J17" s="46" t="str">
        <v>Attend 1 event organiser exhibition</v>
      </c>
      <c r="K17" s="42" t="str">
        <v>Business Dev</v>
      </c>
      <c r="L17" s="48">
        <v>45809</v>
      </c>
      <c r="M17" s="57">
        <v>46022</v>
      </c>
      <c r="N17" s="49" t="str">
        <v>Delegate</v>
      </c>
      <c r="O17" s="98">
        <v>2000</v>
      </c>
      <c r="P17" s="49" t="str">
        <v>Khairul</v>
      </c>
      <c r="Q17" s="49" t="str">
        <v>Khairul</v>
      </c>
      <c r="R17" s="56" t="str">
        <v>Pending</v>
      </c>
      <c r="S17" s="44"/>
      <c r="T17" s="50"/>
      <c r="U17" s="53"/>
      <c r="V17" s="51"/>
      <c r="W17" s="45"/>
      <c r="X17" s="51"/>
    </row>
    <row r="18">
      <c r="A18" s="51"/>
      <c r="B18" s="54"/>
      <c r="C18" s="40"/>
      <c r="D18" s="86"/>
      <c r="E18" s="88"/>
      <c r="F18" s="88"/>
      <c r="G18" s="87"/>
      <c r="H18" s="47" t="str">
        <v>KR1.3: Revenue from events is 60% of total by Q4 2025</v>
      </c>
      <c r="I18" s="89">
        <v>11</v>
      </c>
      <c r="J18" s="46" t="str">
        <v>Secure 2 events by Q2 2025</v>
      </c>
      <c r="K18" s="42" t="str">
        <v>Business Dev</v>
      </c>
      <c r="L18" s="48">
        <v>45689</v>
      </c>
      <c r="M18" s="48">
        <v>45838</v>
      </c>
      <c r="N18" s="49"/>
      <c r="O18" s="43"/>
      <c r="P18" s="49" t="str">
        <v>Khairul</v>
      </c>
      <c r="Q18" s="49" t="str">
        <v>Khairul</v>
      </c>
      <c r="R18" s="56" t="str">
        <v>Pending</v>
      </c>
      <c r="S18" s="44"/>
      <c r="T18" s="50"/>
      <c r="U18" s="53"/>
      <c r="V18" s="51"/>
      <c r="W18" s="45"/>
      <c r="X18" s="51"/>
    </row>
    <row customHeight="true" ht="19" r="19">
      <c r="A19" s="51"/>
      <c r="B19" s="54"/>
      <c r="C19" s="40"/>
      <c r="D19" s="92"/>
      <c r="E19" s="90"/>
      <c r="F19" s="90"/>
      <c r="G19" s="91"/>
      <c r="H19" s="47"/>
      <c r="I19" s="52">
        <v>12</v>
      </c>
      <c r="J19" s="46" t="str">
        <v>Secure 4 events by Q4 2025</v>
      </c>
      <c r="K19" s="42" t="str">
        <v>Business Dev</v>
      </c>
      <c r="L19" s="48">
        <v>45839</v>
      </c>
      <c r="M19" s="57">
        <v>46022</v>
      </c>
      <c r="N19" s="49"/>
      <c r="O19" s="43"/>
      <c r="P19" s="49" t="str">
        <v>Khairul</v>
      </c>
      <c r="Q19" s="49" t="str">
        <v>Khairul</v>
      </c>
      <c r="R19" s="56" t="str">
        <v>Pending</v>
      </c>
      <c r="S19" s="44"/>
      <c r="T19" s="50"/>
      <c r="U19" s="53"/>
      <c r="V19" s="51"/>
      <c r="W19" s="45"/>
      <c r="X19" s="51"/>
    </row>
    <row r="20">
      <c r="A20" s="51"/>
      <c r="B20" s="54">
        <v>2</v>
      </c>
      <c r="C20" s="40" t="str">
        <v>Expand to international B2B video market</v>
      </c>
      <c r="D20" s="78"/>
      <c r="E20" s="79"/>
      <c r="F20" s="79"/>
      <c r="G20" s="77"/>
      <c r="H20" s="47" t="str">
        <v>KR2.1: Develop lead capture system by Q1 2025</v>
      </c>
      <c r="I20" s="52">
        <v>13</v>
      </c>
      <c r="J20" s="55" t="str">
        <v>Complete MotionVii website</v>
      </c>
      <c r="K20" s="42" t="str">
        <v>Operations</v>
      </c>
      <c r="L20" s="48">
        <v>45658</v>
      </c>
      <c r="M20" s="48">
        <v>45716</v>
      </c>
      <c r="N20" s="49" t="str">
        <v>Web Developer</v>
      </c>
      <c r="O20" s="43">
        <v>4000</v>
      </c>
      <c r="P20" s="49" t="str">
        <v>Azlan</v>
      </c>
      <c r="Q20" s="49" t="str">
        <v>Khairul</v>
      </c>
      <c r="R20" s="56" t="str">
        <v>Pending</v>
      </c>
      <c r="S20" s="44"/>
      <c r="T20" s="50"/>
      <c r="U20" s="53"/>
      <c r="V20" s="51"/>
      <c r="W20" s="45"/>
      <c r="X20" s="51"/>
    </row>
    <row customHeight="true" ht="19" r="21">
      <c r="A21" s="51"/>
      <c r="B21" s="54"/>
      <c r="C21" s="40"/>
      <c r="D21" s="46"/>
      <c r="E21" s="49"/>
      <c r="F21" s="49"/>
      <c r="G21" s="41"/>
      <c r="H21" s="47"/>
      <c r="I21" s="52">
        <v>14</v>
      </c>
      <c r="J21" s="55" t="str">
        <v>Integrate 3 marketing automation tools for lead nurturing</v>
      </c>
      <c r="K21" s="42" t="str">
        <v>Marketing</v>
      </c>
      <c r="L21" s="48">
        <v>45717</v>
      </c>
      <c r="M21" s="48">
        <v>45747</v>
      </c>
      <c r="N21" s="49" t="str">
        <v>Automation Tools</v>
      </c>
      <c r="O21" s="43">
        <f>300*12</f>
      </c>
      <c r="P21" s="49" t="str">
        <v>Azlan</v>
      </c>
      <c r="Q21" s="49" t="str">
        <v>Khairul</v>
      </c>
      <c r="R21" s="56" t="str">
        <v>Pending</v>
      </c>
      <c r="S21" s="44"/>
      <c r="T21" s="50"/>
      <c r="U21" s="53"/>
      <c r="V21" s="51"/>
      <c r="W21" s="45"/>
      <c r="X21" s="51"/>
    </row>
    <row customHeight="true" ht="32" r="22">
      <c r="A22" s="51"/>
      <c r="B22" s="54"/>
      <c r="C22" s="40"/>
      <c r="D22" s="46"/>
      <c r="E22" s="49"/>
      <c r="F22" s="49"/>
      <c r="G22" s="41"/>
      <c r="H22" s="47"/>
      <c r="I22" s="89">
        <v>15</v>
      </c>
      <c r="J22" s="99" t="str">
        <v>Test 3 different form structures to improve lead quality and conversion rates.</v>
      </c>
      <c r="K22" s="42" t="str">
        <v>Marketing</v>
      </c>
      <c r="L22" s="48">
        <v>45748</v>
      </c>
      <c r="M22" s="57">
        <v>45777</v>
      </c>
      <c r="N22" s="49"/>
      <c r="O22" s="43"/>
      <c r="P22" s="49" t="str">
        <v>Azlan</v>
      </c>
      <c r="Q22" s="49" t="str">
        <v>Khairul</v>
      </c>
      <c r="R22" s="56" t="str">
        <v>Pending</v>
      </c>
      <c r="S22" s="44"/>
      <c r="T22" s="50"/>
      <c r="U22" s="53"/>
      <c r="V22" s="51"/>
      <c r="W22" s="45"/>
      <c r="X22" s="51"/>
    </row>
    <row r="23">
      <c r="A23" s="51"/>
      <c r="B23" s="54"/>
      <c r="C23" s="40"/>
      <c r="D23" s="46"/>
      <c r="E23" s="49"/>
      <c r="F23" s="49"/>
      <c r="G23" s="41"/>
      <c r="H23" s="47"/>
      <c r="I23" s="52">
        <v>16</v>
      </c>
      <c r="J23" s="99" t="str">
        <v>Create 3 B2B landing pages featuring whitepapers &amp; executive briefs that address corporate pain points.</v>
      </c>
      <c r="K23" s="42" t="str">
        <v>Marketing</v>
      </c>
      <c r="L23" s="48">
        <v>45778</v>
      </c>
      <c r="M23" s="57">
        <v>45808</v>
      </c>
      <c r="N23" s="49"/>
      <c r="O23" s="43"/>
      <c r="P23" s="49" t="str">
        <v>Azlan</v>
      </c>
      <c r="Q23" s="49" t="str">
        <v>Khairul</v>
      </c>
      <c r="R23" s="56" t="str">
        <v>Pending</v>
      </c>
      <c r="S23" s="44"/>
      <c r="T23" s="50"/>
      <c r="U23" s="53"/>
      <c r="V23" s="51"/>
      <c r="W23" s="45"/>
      <c r="X23" s="51"/>
    </row>
    <row customHeight="true" ht="32" r="24">
      <c r="A24" s="51"/>
      <c r="B24" s="54"/>
      <c r="C24" s="40"/>
      <c r="D24" s="46"/>
      <c r="E24" s="49"/>
      <c r="F24" s="49"/>
      <c r="G24" s="41"/>
      <c r="H24" s="47"/>
      <c r="I24" s="52">
        <v>17</v>
      </c>
      <c r="J24" s="99" t="str">
        <v>Attend 1 international exhibition as participant</v>
      </c>
      <c r="K24" s="42" t="str">
        <v>Business Dev</v>
      </c>
      <c r="L24" s="48">
        <v>45658</v>
      </c>
      <c r="M24" s="57">
        <v>46022</v>
      </c>
      <c r="N24" s="49" t="str">
        <v>Travel costs</v>
      </c>
      <c r="O24" s="43">
        <v>10000</v>
      </c>
      <c r="P24" s="49" t="str">
        <v>Khairul</v>
      </c>
      <c r="Q24" s="49" t="str">
        <v>Khairul</v>
      </c>
      <c r="R24" s="56" t="str">
        <v>Pending</v>
      </c>
      <c r="S24" s="44"/>
      <c r="T24" s="50"/>
      <c r="U24" s="53"/>
      <c r="V24" s="51"/>
      <c r="W24" s="45"/>
      <c r="X24" s="51"/>
    </row>
    <row customHeight="true" ht="19" r="25">
      <c r="A25" s="51"/>
      <c r="B25" s="54"/>
      <c r="C25" s="40"/>
      <c r="D25" s="46"/>
      <c r="E25" s="49"/>
      <c r="F25" s="49"/>
      <c r="G25" s="41"/>
      <c r="H25" s="134" t="str">
        <v>KR2.2: Acquire first international client by Q2 2025</v>
      </c>
      <c r="I25" s="52">
        <v>18</v>
      </c>
      <c r="J25" s="55" t="str">
        <v>Create 1 marketing pack for video</v>
      </c>
      <c r="K25" s="42" t="str">
        <v>Marketing</v>
      </c>
      <c r="L25" s="48">
        <v>45676</v>
      </c>
      <c r="M25" s="57">
        <v>45777</v>
      </c>
      <c r="N25" s="49"/>
      <c r="O25" s="43"/>
      <c r="P25" s="49" t="str">
        <v>Azlan</v>
      </c>
      <c r="Q25" s="49" t="str">
        <v>Khairul</v>
      </c>
      <c r="R25" s="56" t="str">
        <v>Pending</v>
      </c>
      <c r="S25" s="44"/>
      <c r="T25" s="50"/>
      <c r="U25" s="53"/>
      <c r="V25" s="51"/>
      <c r="W25" s="45"/>
      <c r="X25" s="51"/>
    </row>
    <row customHeight="true" ht="19" r="26">
      <c r="A26" s="51"/>
      <c r="B26" s="54"/>
      <c r="C26" s="40"/>
      <c r="D26" s="46"/>
      <c r="E26" s="49"/>
      <c r="F26" s="49"/>
      <c r="G26" s="41"/>
      <c r="H26" s="134"/>
      <c r="I26" s="89">
        <v>19</v>
      </c>
      <c r="J26" s="46" t="str">
        <v>Follow-up with leads from ADIPEC</v>
      </c>
      <c r="K26" s="42" t="str">
        <v>Business Dev</v>
      </c>
      <c r="L26" s="48">
        <v>45672</v>
      </c>
      <c r="M26" s="48">
        <v>45703</v>
      </c>
      <c r="N26" s="49"/>
      <c r="O26" s="43"/>
      <c r="P26" s="49" t="str">
        <v>Khairul</v>
      </c>
      <c r="Q26" s="49" t="str">
        <v>Khairul</v>
      </c>
      <c r="R26" s="56" t="str">
        <v>Pending</v>
      </c>
      <c r="S26" s="44"/>
      <c r="T26" s="50"/>
      <c r="U26" s="53"/>
      <c r="V26" s="51"/>
      <c r="W26" s="45"/>
      <c r="X26" s="51"/>
    </row>
    <row customHeight="true" ht="19" r="27">
      <c r="A27" s="51"/>
      <c r="B27" s="54"/>
      <c r="C27" s="40"/>
      <c r="D27" s="46"/>
      <c r="E27" s="49"/>
      <c r="F27" s="49"/>
      <c r="G27" s="41"/>
      <c r="H27" s="134"/>
      <c r="I27" s="52">
        <v>20</v>
      </c>
      <c r="J27" s="46" t="str">
        <v>Follow-up with PETRONAS Abu Dhabi on content localisation</v>
      </c>
      <c r="K27" s="42" t="str">
        <v>Business Dev</v>
      </c>
      <c r="L27" s="48">
        <v>45672</v>
      </c>
      <c r="M27" s="48">
        <v>45703</v>
      </c>
      <c r="N27" s="49"/>
      <c r="O27" s="43"/>
      <c r="P27" s="49" t="str">
        <v>Khairul</v>
      </c>
      <c r="Q27" s="49" t="str">
        <v>Khairul</v>
      </c>
      <c r="R27" s="56" t="str">
        <v>Pending</v>
      </c>
      <c r="S27" s="44"/>
      <c r="T27" s="50"/>
      <c r="U27" s="53"/>
      <c r="V27" s="51"/>
      <c r="W27" s="45"/>
      <c r="X27" s="51"/>
    </row>
    <row customHeight="true" ht="19" r="28">
      <c r="A28" s="51"/>
      <c r="B28" s="54"/>
      <c r="C28" s="40"/>
      <c r="D28" s="46"/>
      <c r="E28" s="49"/>
      <c r="F28" s="49"/>
      <c r="G28" s="41"/>
      <c r="H28" s="134"/>
      <c r="I28" s="52">
        <v>21</v>
      </c>
      <c r="J28" s="46" t="str">
        <v>Offer a 10second pilot engagement or proof-of-concept project to 3 potential corporate clients.</v>
      </c>
      <c r="K28" s="42" t="str">
        <v>Operations</v>
      </c>
      <c r="L28" s="48">
        <v>45683</v>
      </c>
      <c r="M28" s="48">
        <v>45747</v>
      </c>
      <c r="N28" s="49"/>
      <c r="O28" s="43"/>
      <c r="P28" s="42" t="str">
        <v>Khairul</v>
      </c>
      <c r="Q28" s="49" t="str">
        <v>Khairul</v>
      </c>
      <c r="R28" s="56" t="str">
        <v>Pending</v>
      </c>
      <c r="S28" s="44"/>
      <c r="T28" s="50"/>
      <c r="U28" s="53"/>
      <c r="V28" s="51"/>
      <c r="W28" s="45"/>
      <c r="X28" s="51"/>
    </row>
    <row r="29">
      <c r="A29" s="51"/>
      <c r="B29" s="54"/>
      <c r="C29" s="40"/>
      <c r="D29" s="46"/>
      <c r="E29" s="49"/>
      <c r="F29" s="49"/>
      <c r="G29" s="41"/>
      <c r="H29" s="134"/>
      <c r="I29" s="52">
        <v>22</v>
      </c>
      <c r="J29" s="55" t="str">
        <v>Secure 1 freelance/contract for marketing to UAE (white-person)</v>
      </c>
      <c r="K29" s="42" t="str">
        <v>HR</v>
      </c>
      <c r="L29" s="48">
        <v>45689</v>
      </c>
      <c r="M29" s="57">
        <v>45838</v>
      </c>
      <c r="N29" s="148" t="str">
        <v>Marketing person for Arab countries (by Project)</v>
      </c>
      <c r="O29" s="43">
        <f>4000*3</f>
      </c>
      <c r="P29" s="49" t="str">
        <v>Khairul</v>
      </c>
      <c r="Q29" s="49" t="str">
        <v>Khairul</v>
      </c>
      <c r="R29" s="56" t="str">
        <v>Pending</v>
      </c>
      <c r="S29" s="44"/>
      <c r="T29" s="50"/>
      <c r="U29" s="53"/>
      <c r="V29" s="51"/>
      <c r="W29" s="45"/>
      <c r="X29" s="51"/>
    </row>
    <row customHeight="true" ht="19" r="30">
      <c r="A30" s="51"/>
      <c r="B30" s="54"/>
      <c r="C30" s="40"/>
      <c r="D30" s="46"/>
      <c r="E30" s="49"/>
      <c r="F30" s="49"/>
      <c r="G30" s="41"/>
      <c r="H30" s="134"/>
      <c r="I30" s="89">
        <v>23</v>
      </c>
      <c r="J30" s="46" t="str">
        <v>Build 1 portfolio (leveraging current partnership) for reaching out to potential clients</v>
      </c>
      <c r="K30" s="42" t="str">
        <v>Business Dev</v>
      </c>
      <c r="L30" s="48">
        <v>45689</v>
      </c>
      <c r="M30" s="57">
        <v>45838</v>
      </c>
      <c r="N30" s="49"/>
      <c r="O30" s="43"/>
      <c r="P30" s="49" t="str">
        <v>Azlan</v>
      </c>
      <c r="Q30" s="49" t="str">
        <v>Khairul</v>
      </c>
      <c r="R30" s="56" t="str">
        <v>Pending</v>
      </c>
      <c r="S30" s="44"/>
      <c r="T30" s="50"/>
      <c r="U30" s="53"/>
      <c r="V30" s="51"/>
      <c r="W30" s="45"/>
      <c r="X30" s="51"/>
    </row>
    <row r="31">
      <c r="A31" s="51"/>
      <c r="B31" s="54"/>
      <c r="C31" s="40"/>
      <c r="D31" s="86"/>
      <c r="E31" s="88"/>
      <c r="F31" s="88"/>
      <c r="G31" s="88"/>
      <c r="H31" s="147" t="str">
        <v>KR2.3: Achive 5% of revenue from international clients by Q4 2025</v>
      </c>
      <c r="I31" s="52">
        <v>24</v>
      </c>
      <c r="J31" s="115" t="str">
        <v>Secure 1 video from international client</v>
      </c>
      <c r="K31" s="115" t="str">
        <v>Business Dev</v>
      </c>
      <c r="L31" s="119">
        <v>45689</v>
      </c>
      <c r="M31" s="68">
        <v>46022</v>
      </c>
      <c r="N31" s="88"/>
      <c r="O31" s="116"/>
      <c r="P31" s="115" t="str">
        <v>Khairul</v>
      </c>
      <c r="Q31" s="49" t="str">
        <v>Khairul</v>
      </c>
      <c r="R31" s="56" t="str">
        <v>Pending</v>
      </c>
      <c r="S31" s="117"/>
      <c r="T31" s="50"/>
      <c r="U31" s="53"/>
      <c r="V31" s="51"/>
      <c r="W31" s="45"/>
      <c r="X31" s="51"/>
    </row>
    <row r="32">
      <c r="A32" s="51"/>
      <c r="B32" s="54">
        <v>3</v>
      </c>
      <c r="C32" s="40" t="str">
        <v>Develop an A.I-based product</v>
      </c>
      <c r="H32" s="145" t="str">
        <v>KR3.1: Identify 3 ideas that align with company's capabilities &amp; capacity by Q1 2025</v>
      </c>
      <c r="I32" s="52">
        <v>25</v>
      </c>
      <c r="J32" s="42" t="str">
        <v>Research 3 possible niche-AI apps that can be developed</v>
      </c>
      <c r="K32" s="42" t="str">
        <v>Business Dev</v>
      </c>
      <c r="L32" s="119">
        <v>45658</v>
      </c>
      <c r="M32" s="57">
        <v>45688</v>
      </c>
      <c r="N32" s="49"/>
      <c r="O32" s="43"/>
      <c r="P32" s="42" t="str">
        <v>Azlan</v>
      </c>
      <c r="Q32" s="49" t="str">
        <v>Khairul</v>
      </c>
      <c r="R32" s="56" t="str">
        <v>Pending</v>
      </c>
      <c r="S32" s="44"/>
      <c r="T32" s="50"/>
      <c r="U32" s="53"/>
      <c r="V32" s="51"/>
      <c r="W32" s="45"/>
      <c r="X32" s="51"/>
    </row>
    <row customHeight="true" ht="19" r="33">
      <c r="A33" s="51"/>
      <c r="B33" s="54"/>
      <c r="C33" s="40"/>
      <c r="D33" s="46"/>
      <c r="E33" s="49"/>
      <c r="F33" s="49"/>
      <c r="G33" s="41"/>
      <c r="H33" s="47" t="str">
        <v>KR3.2: Join 1 accelerator program by Q2 2025</v>
      </c>
      <c r="I33" s="52">
        <v>26</v>
      </c>
      <c r="J33" s="55" t="str">
        <v>Identify 3 start-up accelerator program to attend</v>
      </c>
      <c r="K33" s="42" t="str">
        <v>Business Dev</v>
      </c>
      <c r="L33" s="48">
        <v>45689</v>
      </c>
      <c r="M33" s="57">
        <v>45716</v>
      </c>
      <c r="N33" s="49"/>
      <c r="O33" s="43"/>
      <c r="P33" s="49" t="str">
        <v>Azlan</v>
      </c>
      <c r="Q33" s="49" t="str">
        <v>Khairul</v>
      </c>
      <c r="R33" s="56" t="str">
        <v>Pending</v>
      </c>
      <c r="S33" s="44"/>
      <c r="T33" s="50"/>
      <c r="U33" s="53"/>
      <c r="V33" s="51"/>
      <c r="W33" s="45"/>
      <c r="X33" s="51"/>
    </row>
    <row customHeight="true" ht="19" r="34">
      <c r="A34" s="51"/>
      <c r="B34" s="54"/>
      <c r="C34" s="40"/>
      <c r="D34" s="46"/>
      <c r="E34" s="49"/>
      <c r="F34" s="49"/>
      <c r="G34" s="41"/>
      <c r="H34" s="47"/>
      <c r="I34" s="89">
        <v>27</v>
      </c>
      <c r="J34" s="55" t="str">
        <v>Register for 1 start-up accelerator program</v>
      </c>
      <c r="K34" s="42" t="str">
        <v>Operations</v>
      </c>
      <c r="L34" s="48">
        <v>45717</v>
      </c>
      <c r="M34" s="57">
        <v>45838</v>
      </c>
      <c r="N34" s="49"/>
      <c r="O34" s="43"/>
      <c r="P34" s="49" t="str">
        <v>Azlan</v>
      </c>
      <c r="Q34" s="49" t="str">
        <v>Khairul</v>
      </c>
      <c r="R34" s="56" t="str">
        <v>Pending</v>
      </c>
      <c r="S34" s="44"/>
      <c r="T34" s="50"/>
      <c r="U34" s="53"/>
      <c r="V34" s="51"/>
      <c r="W34" s="45"/>
      <c r="X34" s="51"/>
    </row>
    <row customHeight="true" ht="19" r="35">
      <c r="A35" s="51"/>
      <c r="B35" s="54"/>
      <c r="C35" s="40"/>
      <c r="H35" s="47"/>
      <c r="I35" s="52">
        <v>28</v>
      </c>
      <c r="J35" s="46" t="str">
        <v>Participate in 1 start-up accelerator program</v>
      </c>
      <c r="K35" s="42" t="str">
        <v>Business Dev</v>
      </c>
      <c r="L35" s="48">
        <v>45748</v>
      </c>
      <c r="M35" s="57">
        <v>45900</v>
      </c>
      <c r="N35" s="49"/>
      <c r="O35" s="43"/>
      <c r="P35" s="42" t="str">
        <v>Khairul</v>
      </c>
      <c r="Q35" s="49" t="str">
        <v>Khairul</v>
      </c>
      <c r="R35" s="56" t="str">
        <v>Pending</v>
      </c>
      <c r="S35" s="44"/>
      <c r="T35" s="50"/>
      <c r="U35" s="53"/>
      <c r="V35" s="51"/>
      <c r="W35" s="45"/>
      <c r="X35" s="51"/>
    </row>
    <row customHeight="true" ht="19" r="36">
      <c r="A36" s="51"/>
      <c r="B36" s="54"/>
      <c r="C36" s="40"/>
      <c r="H36" s="47"/>
      <c r="I36" s="52">
        <v>29</v>
      </c>
      <c r="J36" s="46" t="str">
        <v>Develop 1 Minimum Viable Product (MVP)</v>
      </c>
      <c r="K36" s="42" t="str">
        <v>Operations</v>
      </c>
      <c r="L36" s="48">
        <v>45748</v>
      </c>
      <c r="M36" s="57">
        <v>45991</v>
      </c>
      <c r="N36" s="49" t="str">
        <v>AI-product developer</v>
      </c>
      <c r="O36" s="43">
        <v>25000</v>
      </c>
      <c r="P36" s="42" t="str">
        <v>Khairul</v>
      </c>
      <c r="Q36" s="49" t="str">
        <v>Khairul</v>
      </c>
      <c r="R36" s="56" t="str">
        <v>Pending</v>
      </c>
      <c r="S36" s="44"/>
      <c r="T36" s="50"/>
      <c r="U36" s="53"/>
      <c r="V36" s="51"/>
      <c r="W36" s="45"/>
      <c r="X36" s="51"/>
    </row>
    <row customHeight="true" ht="19" r="37">
      <c r="A37" s="51"/>
      <c r="B37" s="54"/>
      <c r="C37" s="40"/>
      <c r="H37" s="47" t="str">
        <v>KR3.3: Secure 1 potential investor by Q4 2025</v>
      </c>
      <c r="I37" s="52">
        <v>30</v>
      </c>
      <c r="J37" s="46" t="str">
        <v>Present MVP to 5 potential investors</v>
      </c>
      <c r="K37" s="42" t="str">
        <v>Business Dev</v>
      </c>
      <c r="L37" s="48">
        <v>45931</v>
      </c>
      <c r="M37" s="57">
        <v>46022</v>
      </c>
      <c r="N37" s="49"/>
      <c r="O37" s="43"/>
      <c r="P37" s="42" t="str">
        <v>Khairul</v>
      </c>
      <c r="Q37" s="49" t="str">
        <v>Khairul</v>
      </c>
      <c r="R37" s="56" t="str">
        <v>Pending</v>
      </c>
      <c r="S37" s="44"/>
      <c r="T37" s="50"/>
      <c r="U37" s="53"/>
      <c r="V37" s="51"/>
      <c r="W37" s="45"/>
      <c r="X37" s="51"/>
    </row>
    <row customHeight="true" ht="19" r="38">
      <c r="A38" s="51"/>
      <c r="B38" s="54"/>
      <c r="C38" s="40"/>
      <c r="H38" s="47"/>
      <c r="I38" s="89">
        <v>31</v>
      </c>
      <c r="J38" s="46" t="str">
        <v>Conduct 2 AI-training sessions</v>
      </c>
      <c r="K38" s="42" t="str">
        <v>Business Dev</v>
      </c>
      <c r="L38" s="48">
        <v>45658</v>
      </c>
      <c r="M38" s="57">
        <v>46022</v>
      </c>
      <c r="N38" s="49"/>
      <c r="O38" s="43"/>
      <c r="P38" s="42" t="str">
        <v>Khairul</v>
      </c>
      <c r="Q38" s="49" t="str">
        <v>Khairul</v>
      </c>
      <c r="R38" s="56" t="str">
        <v>Pending</v>
      </c>
      <c r="S38" s="44"/>
      <c r="T38" s="50"/>
      <c r="U38" s="53"/>
      <c r="V38" s="51"/>
      <c r="W38" s="45"/>
      <c r="X38" s="51"/>
    </row>
    <row customHeight="true" ht="19" r="39">
      <c r="A39" s="51"/>
      <c r="B39" s="54"/>
      <c r="C39" s="40"/>
      <c r="D39" s="120"/>
      <c r="E39" s="114"/>
      <c r="F39" s="114"/>
      <c r="G39" s="118"/>
      <c r="H39" s="121"/>
      <c r="I39" s="52">
        <v>32</v>
      </c>
      <c r="J39" s="113" t="str" xml:space="preserve">
        <v>Secured 1 potential investor </v>
      </c>
      <c r="K39" s="115" t="str">
        <v>Business Dev</v>
      </c>
      <c r="L39" s="119">
        <v>45931</v>
      </c>
      <c r="M39" s="68">
        <v>46022</v>
      </c>
      <c r="N39" s="88"/>
      <c r="O39" s="116"/>
      <c r="P39" s="115" t="str">
        <v>Khairul</v>
      </c>
      <c r="Q39" s="49" t="str">
        <v>Khairul</v>
      </c>
      <c r="R39" s="56" t="str">
        <v>Pending</v>
      </c>
      <c r="S39" s="117"/>
      <c r="T39" s="50"/>
      <c r="U39" s="53"/>
      <c r="V39" s="51"/>
      <c r="W39" s="45"/>
      <c r="X39" s="51"/>
    </row>
    <row r="40">
      <c r="A40" s="51"/>
      <c r="B40" s="102">
        <v>4</v>
      </c>
      <c r="C40" s="104" t="str">
        <v>Develop finance structure</v>
      </c>
      <c r="D40" s="109"/>
      <c r="E40" s="100"/>
      <c r="F40" s="100"/>
      <c r="G40" s="105"/>
      <c r="H40" s="110" t="str">
        <v>KR4.1: Complete commission structure by Q1 2025</v>
      </c>
      <c r="I40" s="52">
        <v>33</v>
      </c>
      <c r="J40" s="103" t="str">
        <v>Set 1 discussion session with MotionVii team &amp; Finance team to gather input and discuss possible structures</v>
      </c>
      <c r="K40" s="106" t="str">
        <v>FInance</v>
      </c>
      <c r="L40" s="101">
        <v>45658</v>
      </c>
      <c r="M40" s="101">
        <v>45688</v>
      </c>
      <c r="N40" s="56"/>
      <c r="O40" s="107"/>
      <c r="P40" s="106" t="str">
        <v>Izyani</v>
      </c>
      <c r="Q40" s="49" t="str">
        <v>Khairul</v>
      </c>
      <c r="R40" s="56" t="str">
        <v>Pending</v>
      </c>
      <c r="S40" s="108"/>
      <c r="T40" s="50"/>
      <c r="U40" s="53"/>
      <c r="V40" s="51"/>
      <c r="W40" s="45"/>
      <c r="X40" s="51"/>
    </row>
    <row customHeight="true" ht="19" r="41">
      <c r="A41" s="51"/>
      <c r="B41" s="102"/>
      <c r="C41" s="104"/>
      <c r="D41" s="141"/>
      <c r="E41" s="143"/>
      <c r="F41" s="143"/>
      <c r="G41" s="142"/>
      <c r="H41" s="110"/>
      <c r="I41" s="52">
        <v>34</v>
      </c>
      <c r="J41" s="138" t="str">
        <v>To develop 1 sales commission tiered system before end of Q1 2025.</v>
      </c>
      <c r="K41" s="42" t="str">
        <v>FInance</v>
      </c>
      <c r="L41" s="57">
        <v>45689</v>
      </c>
      <c r="M41" s="57">
        <v>45716</v>
      </c>
      <c r="N41" s="49"/>
      <c r="O41" s="43"/>
      <c r="P41" s="42" t="str">
        <v>Izyani</v>
      </c>
      <c r="Q41" s="49" t="str">
        <v>Khairul</v>
      </c>
      <c r="R41" s="56" t="str">
        <v>Pending</v>
      </c>
      <c r="S41" s="44"/>
      <c r="T41" s="50"/>
      <c r="U41" s="53"/>
      <c r="V41" s="51"/>
      <c r="W41" s="45"/>
      <c r="X41" s="51"/>
    </row>
    <row r="42">
      <c r="A42" s="51"/>
      <c r="B42" s="102"/>
      <c r="C42" s="104"/>
      <c r="D42" s="139"/>
      <c r="E42" s="137"/>
      <c r="F42" s="137"/>
      <c r="G42" s="140"/>
      <c r="H42" s="110" t="str">
        <v>KR4.2: Complete project financing structure by Q4 2025</v>
      </c>
      <c r="I42" s="89">
        <v>35</v>
      </c>
      <c r="J42" s="138" t="str">
        <v>To develop 1 project financing structure before end of Q2 2025.</v>
      </c>
      <c r="K42" s="42" t="str">
        <v>FInance</v>
      </c>
      <c r="L42" s="57">
        <v>45689</v>
      </c>
      <c r="M42" s="57">
        <v>45716</v>
      </c>
      <c r="N42" s="49"/>
      <c r="O42" s="43"/>
      <c r="P42" s="42" t="str">
        <v>Izyani</v>
      </c>
      <c r="Q42" s="49" t="str">
        <v>Khairul</v>
      </c>
      <c r="R42" s="56" t="str">
        <v>Pending</v>
      </c>
      <c r="S42" s="44"/>
      <c r="T42" s="50"/>
      <c r="U42" s="53"/>
      <c r="V42" s="51"/>
      <c r="W42" s="45"/>
      <c r="X42" s="51"/>
    </row>
    <row r="43">
      <c r="A43" s="51"/>
      <c r="B43" s="102"/>
      <c r="C43" s="104"/>
      <c r="D43" s="58"/>
      <c r="E43" s="58"/>
      <c r="F43" s="58"/>
      <c r="G43" s="58"/>
      <c r="H43" s="62" t="str">
        <v>KR4.3: Starting Q1 2025, complete of preparation of budgetting &amp; cashflow by Q4 2025</v>
      </c>
      <c r="I43" s="52">
        <v>36</v>
      </c>
      <c r="J43" s="66" t="str">
        <v>To develop 1 budget and cashflow structure by Q3 2025</v>
      </c>
      <c r="K43" s="60" t="str">
        <v>FInance</v>
      </c>
      <c r="L43" s="59">
        <v>45658</v>
      </c>
      <c r="M43" s="59">
        <v>45838</v>
      </c>
      <c r="N43" s="67"/>
      <c r="O43" s="63"/>
      <c r="P43" s="60" t="str">
        <v>Izyani</v>
      </c>
      <c r="Q43" s="49" t="str">
        <v>Khairul</v>
      </c>
      <c r="R43" s="56" t="str">
        <v>Pending</v>
      </c>
      <c r="S43" s="64"/>
      <c r="T43" s="50"/>
      <c r="U43" s="53"/>
      <c r="V43" s="51"/>
      <c r="W43" s="45"/>
      <c r="X43" s="51"/>
    </row>
    <row customHeight="true" ht="32" r="44">
      <c r="A44" s="51"/>
      <c r="B44" s="102"/>
      <c r="C44" s="104"/>
      <c r="D44" s="58"/>
      <c r="E44" s="58"/>
      <c r="F44" s="58"/>
      <c r="G44" s="58"/>
      <c r="H44" s="62"/>
      <c r="I44" s="52">
        <v>37</v>
      </c>
      <c r="J44" s="66" t="str">
        <v>To review first audited report for MotionVii</v>
      </c>
      <c r="K44" s="60" t="str">
        <v>FInance</v>
      </c>
      <c r="L44" s="59">
        <v>45962</v>
      </c>
      <c r="M44" s="59">
        <v>46022</v>
      </c>
      <c r="N44" s="67"/>
      <c r="O44" s="63"/>
      <c r="P44" s="60" t="str">
        <v>Izyani</v>
      </c>
      <c r="Q44" s="49" t="str">
        <v>Khairul</v>
      </c>
      <c r="R44" s="56" t="str">
        <v>Pending</v>
      </c>
      <c r="S44" s="64"/>
      <c r="T44" s="50"/>
      <c r="U44" s="53"/>
      <c r="V44" s="51"/>
      <c r="W44" s="45"/>
      <c r="X44" s="51"/>
    </row>
    <row customHeight="true" ht="32" r="45">
      <c r="A45" s="51"/>
      <c r="B45" s="65">
        <v>5</v>
      </c>
      <c r="C45" s="61" t="str">
        <v>Ensure a smooth daily operation</v>
      </c>
      <c r="D45" s="58"/>
      <c r="E45" s="58"/>
      <c r="F45" s="58"/>
      <c r="G45" s="58"/>
      <c r="H45" s="62" t="str">
        <v>KR5.1: MotionVii's daily operations run smoothly as planned</v>
      </c>
      <c r="I45" s="52">
        <v>38</v>
      </c>
      <c r="J45" s="66" t="str">
        <v>Design festive wishes</v>
      </c>
      <c r="K45" s="60" t="str">
        <v>Operations</v>
      </c>
      <c r="L45" s="59">
        <v>45658</v>
      </c>
      <c r="M45" s="59">
        <v>46022</v>
      </c>
      <c r="N45" s="67"/>
      <c r="O45" s="63"/>
      <c r="P45" s="49" t="str">
        <v>Azlan</v>
      </c>
      <c r="Q45" s="49" t="str">
        <v>Khairul</v>
      </c>
      <c r="R45" s="56" t="str">
        <v>Pending</v>
      </c>
      <c r="S45" s="64"/>
      <c r="T45" s="50"/>
      <c r="U45" s="53"/>
      <c r="V45" s="51"/>
      <c r="W45" s="45"/>
      <c r="X45" s="51"/>
    </row>
    <row customHeight="true" ht="32" r="46">
      <c r="A46" s="51"/>
      <c r="B46" s="65"/>
      <c r="C46" s="61"/>
      <c r="D46" s="58"/>
      <c r="E46" s="58"/>
      <c r="F46" s="58"/>
      <c r="G46" s="58"/>
      <c r="H46" s="62"/>
      <c r="I46" s="89">
        <v>39</v>
      </c>
      <c r="J46" s="66" t="str">
        <v>Prepare company portfolio after project end</v>
      </c>
      <c r="K46" s="60" t="str">
        <v>Operations</v>
      </c>
      <c r="L46" s="59">
        <v>45658</v>
      </c>
      <c r="M46" s="59">
        <v>46022</v>
      </c>
      <c r="N46" s="67"/>
      <c r="O46" s="63"/>
      <c r="P46" s="49" t="str">
        <v>Azlan</v>
      </c>
      <c r="Q46" s="49" t="str">
        <v>Khairul</v>
      </c>
      <c r="R46" s="56" t="str">
        <v>Pending</v>
      </c>
      <c r="S46" s="64"/>
      <c r="T46" s="50"/>
      <c r="U46" s="53"/>
      <c r="V46" s="51"/>
      <c r="W46" s="45"/>
      <c r="X46" s="51"/>
    </row>
    <row customHeight="true" ht="32" r="47">
      <c r="A47" s="51"/>
      <c r="B47" s="65"/>
      <c r="C47" s="61"/>
      <c r="D47" s="58"/>
      <c r="E47" s="58"/>
      <c r="F47" s="58"/>
      <c r="G47" s="58"/>
      <c r="H47" s="62"/>
      <c r="I47" s="52">
        <v>40</v>
      </c>
      <c r="J47" s="66" t="str">
        <v>Project proposal creation</v>
      </c>
      <c r="K47" s="60" t="str">
        <v>Operations</v>
      </c>
      <c r="L47" s="59">
        <v>45658</v>
      </c>
      <c r="M47" s="59">
        <v>46022</v>
      </c>
      <c r="N47" s="67"/>
      <c r="O47" s="63"/>
      <c r="P47" s="49" t="str">
        <v>Azlan</v>
      </c>
      <c r="Q47" s="49" t="str">
        <v>Khairul</v>
      </c>
      <c r="R47" s="56" t="str">
        <v>Pending</v>
      </c>
      <c r="S47" s="64"/>
      <c r="T47" s="50"/>
      <c r="U47" s="53"/>
      <c r="V47" s="51"/>
      <c r="W47" s="45"/>
      <c r="X47" s="51"/>
    </row>
    <row customHeight="true" ht="32" r="48">
      <c r="A48" s="51"/>
      <c r="B48" s="65"/>
      <c r="C48" s="61"/>
      <c r="D48" s="58"/>
      <c r="E48" s="58"/>
      <c r="F48" s="58"/>
      <c r="G48" s="58"/>
      <c r="H48" s="62"/>
      <c r="I48" s="52">
        <v>41</v>
      </c>
      <c r="J48" s="66" t="str" xml:space="preserve">
        <v>Assist Talenta trading team with required designs </v>
      </c>
      <c r="K48" s="60" t="str">
        <v>Operations</v>
      </c>
      <c r="L48" s="59">
        <v>45658</v>
      </c>
      <c r="M48" s="59">
        <v>46022</v>
      </c>
      <c r="N48" s="67"/>
      <c r="O48" s="63"/>
      <c r="P48" s="49" t="str">
        <v>Azlan</v>
      </c>
      <c r="Q48" s="49" t="str">
        <v>Khairul</v>
      </c>
      <c r="R48" s="56" t="str">
        <v>Pending</v>
      </c>
      <c r="S48" s="64"/>
      <c r="T48" s="50"/>
      <c r="U48" s="53"/>
      <c r="V48" s="51"/>
      <c r="W48" s="45"/>
      <c r="X48" s="51"/>
    </row>
    <row customHeight="true" ht="32" r="49">
      <c r="A49" s="51"/>
      <c r="B49" s="65"/>
      <c r="C49" s="61"/>
      <c r="D49" s="58"/>
      <c r="E49" s="58"/>
      <c r="F49" s="58"/>
      <c r="G49" s="58"/>
      <c r="H49" s="62"/>
      <c r="I49" s="52">
        <v>42</v>
      </c>
      <c r="J49" s="66" t="str">
        <v>Entertain client requests (video, designs, events)</v>
      </c>
      <c r="K49" s="60" t="str">
        <v>Operations</v>
      </c>
      <c r="L49" s="59">
        <v>45658</v>
      </c>
      <c r="M49" s="59">
        <v>46022</v>
      </c>
      <c r="N49" s="67"/>
      <c r="O49" s="63"/>
      <c r="P49" s="49" t="str">
        <v>Azlan</v>
      </c>
      <c r="Q49" s="49" t="str">
        <v>Khairul</v>
      </c>
      <c r="R49" s="56" t="str">
        <v>Pending</v>
      </c>
      <c r="S49" s="64"/>
      <c r="T49" s="50"/>
      <c r="U49" s="53"/>
      <c r="V49" s="51"/>
      <c r="W49" s="45"/>
      <c r="X49" s="51"/>
    </row>
    <row customHeight="true" ht="32" r="50">
      <c r="A50" s="51"/>
      <c r="B50" s="65"/>
      <c r="C50" s="61"/>
      <c r="D50" s="58"/>
      <c r="E50" s="58"/>
      <c r="F50" s="58"/>
      <c r="G50" s="58"/>
      <c r="H50" s="62" t="str">
        <v>KR5.2: Finance matters run smoothly as pllaned</v>
      </c>
      <c r="I50" s="89">
        <v>43</v>
      </c>
      <c r="J50" s="66" t="str">
        <v>Email quotation to user, follow up PO issuance and follow up payments (Daily)</v>
      </c>
      <c r="K50" s="60" t="str">
        <v>FInance</v>
      </c>
      <c r="L50" s="59">
        <v>45658</v>
      </c>
      <c r="M50" s="68">
        <v>46022</v>
      </c>
      <c r="N50" s="67"/>
      <c r="O50" s="63"/>
      <c r="P50" s="60" t="str">
        <v>Izyani</v>
      </c>
      <c r="Q50" s="60" t="str">
        <v>Khairul</v>
      </c>
      <c r="R50" s="56" t="str">
        <v>Pending</v>
      </c>
      <c r="S50" s="64"/>
      <c r="T50" s="50"/>
      <c r="U50" s="53"/>
      <c r="V50" s="51"/>
      <c r="W50" s="45"/>
      <c r="X50" s="51"/>
    </row>
    <row customHeight="true" ht="32" r="51">
      <c r="A51" s="51"/>
      <c r="B51" s="65"/>
      <c r="C51" s="61"/>
      <c r="D51" s="58"/>
      <c r="E51" s="58"/>
      <c r="F51" s="58"/>
      <c r="G51" s="58"/>
      <c r="H51" s="62"/>
      <c r="I51" s="52">
        <v>44</v>
      </c>
      <c r="J51" s="66" t="str" xml:space="preserve">
        <v>Perform all payments - Overhead, COGS, Statutory, Tax etc (Daily) </v>
      </c>
      <c r="K51" s="60" t="str">
        <v>FInance</v>
      </c>
      <c r="L51" s="59">
        <v>45658</v>
      </c>
      <c r="M51" s="68">
        <v>46022</v>
      </c>
      <c r="N51" s="67"/>
      <c r="O51" s="63"/>
      <c r="P51" s="60" t="str">
        <v>Izyani</v>
      </c>
      <c r="Q51" s="60" t="str">
        <v>Izyani</v>
      </c>
      <c r="R51" s="56" t="str">
        <v>Pending</v>
      </c>
      <c r="S51" s="64"/>
      <c r="T51" s="50"/>
      <c r="U51" s="53"/>
      <c r="V51" s="51"/>
      <c r="W51" s="45"/>
      <c r="X51" s="51"/>
    </row>
    <row customHeight="true" ht="32" r="52">
      <c r="A52" s="51"/>
      <c r="B52" s="65"/>
      <c r="C52" s="61"/>
      <c r="D52" s="58"/>
      <c r="E52" s="58"/>
      <c r="F52" s="58"/>
      <c r="G52" s="58"/>
      <c r="H52" s="62"/>
      <c r="I52" s="52">
        <v>45</v>
      </c>
      <c r="J52" s="66" t="str">
        <v>Review budget, cash flow and management account (Weekly &amp; Monthly &amp; Yearly)</v>
      </c>
      <c r="K52" s="60" t="str">
        <v>FInance</v>
      </c>
      <c r="L52" s="59">
        <v>45658</v>
      </c>
      <c r="M52" s="68">
        <v>46053</v>
      </c>
      <c r="N52" s="67"/>
      <c r="O52" s="63"/>
      <c r="P52" s="60" t="str">
        <v>Izyani</v>
      </c>
      <c r="Q52" s="60" t="str">
        <v>Izyani</v>
      </c>
      <c r="R52" s="56" t="str">
        <v>Pending</v>
      </c>
      <c r="S52" s="64"/>
      <c r="T52" s="50"/>
      <c r="U52" s="53"/>
      <c r="V52" s="51"/>
      <c r="W52" s="45"/>
      <c r="X52" s="51"/>
    </row>
    <row customHeight="true" ht="32" r="53">
      <c r="A53" s="51"/>
      <c r="B53" s="65"/>
      <c r="C53" s="61"/>
      <c r="D53" s="58"/>
      <c r="E53" s="58"/>
      <c r="F53" s="58"/>
      <c r="G53" s="58"/>
      <c r="H53" s="62"/>
      <c r="I53" s="52">
        <v>46</v>
      </c>
      <c r="J53" s="66" t="str" xml:space="preserve">
        <v>Prepare documentation - Quo, Inv &amp; DO </v>
      </c>
      <c r="K53" s="60" t="str">
        <v>FInance</v>
      </c>
      <c r="L53" s="59">
        <v>45658</v>
      </c>
      <c r="M53" s="68">
        <v>46022</v>
      </c>
      <c r="N53" s="67"/>
      <c r="O53" s="63"/>
      <c r="P53" s="60" t="str">
        <v>Hazriani</v>
      </c>
      <c r="Q53" s="60" t="str">
        <v>Izyani</v>
      </c>
      <c r="R53" s="56" t="str">
        <v>Pending</v>
      </c>
      <c r="S53" s="64"/>
      <c r="T53" s="50"/>
      <c r="U53" s="53"/>
      <c r="V53" s="51"/>
      <c r="W53" s="45"/>
      <c r="X53" s="51"/>
    </row>
    <row customHeight="true" ht="32" r="54">
      <c r="A54" s="51"/>
      <c r="B54" s="65"/>
      <c r="C54" s="61"/>
      <c r="D54" s="58"/>
      <c r="E54" s="58"/>
      <c r="F54" s="58"/>
      <c r="G54" s="58"/>
      <c r="H54" s="62"/>
      <c r="I54" s="89">
        <v>47</v>
      </c>
      <c r="J54" s="66" t="str" xml:space="preserve">
        <v>Record Invoice/Bill related with Epenses Company (Company Secretary &amp; Etc) </v>
      </c>
      <c r="K54" s="60" t="str">
        <v>FInance</v>
      </c>
      <c r="L54" s="59">
        <v>45658</v>
      </c>
      <c r="M54" s="68">
        <v>46022</v>
      </c>
      <c r="N54" s="67"/>
      <c r="O54" s="63"/>
      <c r="P54" s="60" t="str">
        <v>Hazriani</v>
      </c>
      <c r="Q54" s="60" t="str">
        <v>Izyani</v>
      </c>
      <c r="R54" s="56" t="str">
        <v>Pending</v>
      </c>
      <c r="S54" s="64"/>
      <c r="T54" s="50"/>
      <c r="U54" s="53"/>
      <c r="V54" s="51"/>
      <c r="W54" s="45"/>
      <c r="X54" s="51"/>
    </row>
    <row customHeight="true" ht="32" r="55">
      <c r="A55" s="51"/>
      <c r="B55" s="65"/>
      <c r="C55" s="61"/>
      <c r="D55" s="58"/>
      <c r="E55" s="58"/>
      <c r="F55" s="58"/>
      <c r="G55" s="58"/>
      <c r="H55" s="62"/>
      <c r="I55" s="52">
        <v>48</v>
      </c>
      <c r="J55" s="66" t="str">
        <v>Preparing Talenta Sales Commision report calculation for Trading Q1,Q2,Q3,Q4 2025</v>
      </c>
      <c r="K55" s="60" t="str">
        <v>FInance</v>
      </c>
      <c r="L55" s="59">
        <v>45658</v>
      </c>
      <c r="M55" s="68">
        <v>46038</v>
      </c>
      <c r="N55" s="67"/>
      <c r="O55" s="63"/>
      <c r="P55" s="60" t="str">
        <v>Asri</v>
      </c>
      <c r="Q55" s="60" t="str">
        <v>Izyani</v>
      </c>
      <c r="R55" s="56" t="str">
        <v>Pending</v>
      </c>
      <c r="S55" s="64"/>
      <c r="T55" s="50"/>
      <c r="U55" s="53"/>
      <c r="V55" s="51"/>
      <c r="W55" s="45"/>
      <c r="X55" s="51"/>
    </row>
    <row customHeight="true" ht="32" r="56">
      <c r="A56" s="51"/>
      <c r="B56" s="65"/>
      <c r="C56" s="61"/>
      <c r="D56" s="58"/>
      <c r="E56" s="58"/>
      <c r="F56" s="58"/>
      <c r="G56" s="58"/>
      <c r="H56" s="112"/>
      <c r="I56" s="52">
        <v>49</v>
      </c>
      <c r="J56" s="111" t="str">
        <v>Set up meeting with Creative sales team a day after payouts of sales commission Q1,Q2,Q3,Q4 2025</v>
      </c>
      <c r="K56" s="60" t="str">
        <v>FInance</v>
      </c>
      <c r="L56" s="59">
        <v>45658</v>
      </c>
      <c r="M56" s="68">
        <v>46038</v>
      </c>
      <c r="N56" s="67"/>
      <c r="O56" s="63"/>
      <c r="P56" s="60" t="str">
        <v>Asri</v>
      </c>
      <c r="Q56" s="60" t="str">
        <v>Izyani</v>
      </c>
      <c r="R56" s="56" t="str">
        <v>Pending</v>
      </c>
      <c r="S56" s="64"/>
      <c r="T56" s="50"/>
      <c r="U56" s="53"/>
      <c r="V56" s="51"/>
      <c r="W56" s="45"/>
      <c r="X56" s="51"/>
    </row>
    <row customHeight="true" ht="32" r="57">
      <c r="A57" s="51"/>
      <c r="B57" s="65"/>
      <c r="C57" s="61"/>
      <c r="D57" s="58"/>
      <c r="E57" s="58"/>
      <c r="F57" s="58"/>
      <c r="G57" s="58"/>
      <c r="H57" s="144" t="str">
        <v>KR5.3: Admin requirements are fulfilled for a smooth operation</v>
      </c>
      <c r="I57" s="52">
        <v>50</v>
      </c>
      <c r="J57" s="66" t="str">
        <v>Prepare all related documents request from company secretary</v>
      </c>
      <c r="K57" s="60" t="str">
        <v>Admin</v>
      </c>
      <c r="L57" s="59">
        <v>45658</v>
      </c>
      <c r="M57" s="68">
        <v>46022</v>
      </c>
      <c r="N57" s="67"/>
      <c r="O57" s="63"/>
      <c r="P57" s="60" t="str">
        <v>Izyani</v>
      </c>
      <c r="Q57" s="60" t="str">
        <v>Izyani</v>
      </c>
      <c r="R57" s="56" t="str">
        <v>Pending</v>
      </c>
      <c r="S57" s="64"/>
      <c r="T57" s="50"/>
      <c r="U57" s="53"/>
      <c r="V57" s="51"/>
      <c r="W57" s="45"/>
      <c r="X57" s="51"/>
    </row>
    <row r="58">
      <c r="A58" s="51"/>
      <c r="B58" s="51"/>
      <c r="C58" s="136"/>
      <c r="D58" s="51"/>
      <c r="E58" s="45"/>
      <c r="F58" s="45"/>
      <c r="G58" s="71"/>
      <c r="H58" s="135"/>
      <c r="T58" s="51"/>
      <c r="U58" s="51"/>
      <c r="V58" s="51"/>
      <c r="W58" s="51"/>
      <c r="X58" s="51"/>
    </row>
    <row customHeight="true" ht="19" r="59">
      <c r="A59" s="51"/>
      <c r="B59" s="51"/>
      <c r="C59" s="136"/>
      <c r="D59" s="51"/>
      <c r="E59" s="45"/>
      <c r="F59" s="45"/>
      <c r="G59" s="71"/>
      <c r="H59" s="135"/>
      <c r="T59" s="51"/>
      <c r="U59" s="51"/>
      <c r="V59" s="51"/>
      <c r="W59" s="51"/>
      <c r="X59" s="51"/>
    </row>
    <row r="60">
      <c r="A60" s="51"/>
      <c r="B60" s="51"/>
      <c r="C60" s="136"/>
      <c r="D60" s="51"/>
      <c r="E60" s="45"/>
      <c r="F60" s="45"/>
      <c r="G60" s="71"/>
      <c r="H60" s="135"/>
      <c r="T60" s="51"/>
      <c r="U60" s="51"/>
      <c r="V60" s="51"/>
      <c r="W60" s="51"/>
      <c r="X60" s="51"/>
    </row>
  </sheetData>
  <mergeCells>
    <mergeCell ref="B45:B57"/>
    <mergeCell ref="H50:H56"/>
    <mergeCell ref="C45:C57"/>
    <mergeCell ref="H45:H49"/>
    <mergeCell ref="H43:H44"/>
    <mergeCell ref="H40:H41"/>
    <mergeCell ref="B40:B44"/>
    <mergeCell ref="C40:C44"/>
    <mergeCell ref="H37:H39"/>
    <mergeCell ref="H33:H36"/>
    <mergeCell ref="B32:B39"/>
    <mergeCell ref="C32:C39"/>
    <mergeCell ref="H25:H30"/>
    <mergeCell ref="H20:H24"/>
    <mergeCell ref="C20:C31"/>
    <mergeCell ref="B20:B31"/>
    <mergeCell ref="B8:B19"/>
    <mergeCell ref="H18:H19"/>
    <mergeCell ref="H12:H17"/>
    <mergeCell ref="C8:C19"/>
    <mergeCell ref="H8:H11"/>
  </mergeCells>
  <dataValidations count="3">
    <dataValidation allowBlank="true" errorStyle="stop" showErrorMessage="true" sqref="R8:R57" type="list">
      <formula1>"In progress,Done,Pending"</formula1>
    </dataValidation>
    <dataValidation allowBlank="true" errorStyle="stop" showErrorMessage="true" sqref="K8:K57" type="list">
      <formula1>"All,Operations,FInance,Admin,Marketing,HR,Management,Project Management,Business Dev"</formula1>
    </dataValidation>
    <dataValidation allowBlank="true" errorStyle="stop" showErrorMessage="true" sqref="P8:P57 Q8:Q57" type="list">
      <formula1>"All,Khairul,Hafiz,Izyani,Aliff,Azlan,Hazriani,Amin,Ayu,Asri,Syafiq,Intern,Project Manager,BD,Management,HR,Marketing"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